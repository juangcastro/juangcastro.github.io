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juangcastro/Documents/Hermes Files/"/>
    </mc:Choice>
  </mc:AlternateContent>
  <xr:revisionPtr revIDLastSave="0" documentId="13_ncr:1_{7F617BB3-9974-FF43-9D0D-E4AFCC6E464F}" xr6:coauthVersionLast="47" xr6:coauthVersionMax="47" xr10:uidLastSave="{00000000-0000-0000-0000-000000000000}"/>
  <bookViews>
    <workbookView minimized="1" xWindow="0" yWindow="4700" windowWidth="36140" windowHeight="18640" tabRatio="500" firstSheet="4" activeTab="4" xr2:uid="{00000000-000D-0000-FFFF-FFFF00000000}"/>
  </bookViews>
  <sheets>
    <sheet name="LÉEME" sheetId="1" r:id="rId1"/>
    <sheet name="LI Estratégico" sheetId="2" r:id="rId2"/>
    <sheet name="Últimos 10 Posts" sheetId="3" r:id="rId3"/>
    <sheet name="GUÍA OPERATIVA" sheetId="4" r:id="rId4"/>
    <sheet name="PARRILLA" sheetId="5" r:id="rId5"/>
    <sheet name="ANALYTICS 24H" sheetId="6" r:id="rId6"/>
    <sheet name="PERFIL SEMANAL" sheetId="7" r:id="rId7"/>
    <sheet name="ITERACIÓN DE CONTENIDO" sheetId="8" r:id="rId8"/>
    <sheet name="BITÁCORA DE IDEAS" sheetId="9" r:id="rId9"/>
    <sheet name="LEARNINGS" sheetId="10" r:id="rId10"/>
    <sheet name="EL CIERRE DEL GAP" sheetId="11" r:id="rId1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 i="7" l="1"/>
  <c r="K5" i="7"/>
  <c r="S69" i="6"/>
  <c r="S68" i="6"/>
  <c r="S67" i="6"/>
  <c r="S66" i="6"/>
  <c r="S65" i="6"/>
  <c r="S64" i="6"/>
  <c r="S63" i="6"/>
  <c r="S62" i="6"/>
  <c r="S61" i="6"/>
  <c r="S60" i="6"/>
  <c r="S59" i="6"/>
  <c r="S58" i="6"/>
  <c r="S57" i="6"/>
  <c r="S56" i="6"/>
  <c r="S55" i="6"/>
  <c r="S54" i="6"/>
  <c r="S53" i="6"/>
  <c r="S52" i="6"/>
  <c r="S51" i="6"/>
  <c r="S50" i="6"/>
  <c r="S49" i="6"/>
  <c r="S48" i="6"/>
  <c r="S47" i="6"/>
  <c r="S46" i="6"/>
  <c r="S45" i="6"/>
  <c r="S44" i="6"/>
  <c r="S43" i="6"/>
  <c r="S42" i="6"/>
  <c r="S41" i="6"/>
  <c r="S40" i="6"/>
  <c r="S39" i="6"/>
  <c r="S38" i="6"/>
  <c r="S37" i="6"/>
  <c r="S36" i="6"/>
  <c r="S35" i="6"/>
  <c r="S34" i="6"/>
  <c r="S33" i="6"/>
  <c r="S32" i="6"/>
  <c r="S31" i="6"/>
  <c r="S30" i="6"/>
  <c r="S29" i="6"/>
  <c r="S28" i="6"/>
  <c r="S27" i="6"/>
  <c r="S26" i="6"/>
  <c r="S25" i="6"/>
  <c r="S24" i="6"/>
  <c r="S23" i="6"/>
  <c r="S22" i="6"/>
  <c r="S21" i="6"/>
  <c r="S20" i="6"/>
  <c r="S19" i="6"/>
  <c r="S18" i="6"/>
  <c r="S17" i="6"/>
  <c r="S14" i="6"/>
  <c r="S13" i="6"/>
  <c r="S12" i="6"/>
  <c r="S11" i="6"/>
  <c r="S10" i="6"/>
  <c r="S9" i="6"/>
  <c r="S8" i="6"/>
  <c r="S7" i="6"/>
  <c r="S6" i="6"/>
  <c r="B31" i="5"/>
  <c r="B30" i="5"/>
  <c r="B29" i="5"/>
  <c r="J25" i="5"/>
  <c r="J24" i="5"/>
  <c r="J23" i="5"/>
  <c r="J22" i="5"/>
  <c r="J21" i="5"/>
  <c r="J20" i="5"/>
  <c r="J19" i="5"/>
  <c r="J18" i="5"/>
  <c r="J17" i="5"/>
  <c r="J16" i="5"/>
  <c r="J15" i="5"/>
  <c r="J14" i="5"/>
  <c r="J13" i="5"/>
  <c r="J12" i="5"/>
  <c r="J11" i="5"/>
  <c r="J10" i="5"/>
  <c r="J9" i="5"/>
  <c r="J8" i="5"/>
  <c r="J7" i="5"/>
  <c r="J6" i="5"/>
</calcChain>
</file>

<file path=xl/sharedStrings.xml><?xml version="1.0" encoding="utf-8"?>
<sst xmlns="http://schemas.openxmlformats.org/spreadsheetml/2006/main" count="1351" uniqueCount="884">
  <si>
    <t>Parrilla de contenido — posts #10 a #20 + pautas</t>
  </si>
  <si>
    <t>Semana 1 = prueba (3 posts en franjas distintas). Semanas 2-5 = L-V. Fecha se calcula sola desde la fecha de arranque de abajo. Horarios ajustados a audiencia LatAm/hispanohablante corporativa (Colombia): mañana 7:45 AM, almuerzo 12:30 PM, fin de jornada 5:30 PM — se evita mitad de jornada (horario muerto para esta audiencia) y lunes temprano/viernes tarde. Celdas en azul: para llenar/ajustar.</t>
  </si>
  <si>
    <t>Fecha de arranque (lunes, semana 1):</t>
  </si>
  <si>
    <t>Actualizado 27/07: de la semana de prueba (posts #10, #11, #12) solo salió el #10 (1 de 3 horarios probado). Desde el post #11 se reinicia con cadencia L-V continua, sin más semana de prueba pendiente. Si la fecha de arranque vuelve a moverse, edita solo esta celda y las fechas de abajo se recalculan solas.</t>
  </si>
  <si>
    <t>#</t>
  </si>
  <si>
    <t>Semana</t>
  </si>
  <si>
    <t>Estado</t>
  </si>
  <si>
    <t>Registro</t>
  </si>
  <si>
    <t>Título</t>
  </si>
  <si>
    <t>Texto del post / Objetivo (si es pauta)</t>
  </si>
  <si>
    <t>Mercado</t>
  </si>
  <si>
    <t>Formato</t>
  </si>
  <si>
    <t>Hashtags</t>
  </si>
  <si>
    <t>Fecha de publicación</t>
  </si>
  <si>
    <t>Hora sugerida</t>
  </si>
  <si>
    <t>Link al post</t>
  </si>
  <si>
    <t>Comentarios de Juan a cada post</t>
  </si>
  <si>
    <t>Semana 1</t>
  </si>
  <si>
    <t>Publicado</t>
  </si>
  <si>
    <t>RED QUEEN</t>
  </si>
  <si>
    <t>El grafiti que le pone nombre a la pared</t>
  </si>
  <si>
    <t>No le había puesto nombre a lo que estaba construyendo. Hoy sí.
El nacimiento de The Red Queen.
Imagina que corres y corres todo lo que puedes. Y aún así sigues en el mismo sitio.
En el libro de Carroll, Through the Looking-Glass, la Reina Roja le explica a Alicia (la del país de las maravillas) que hay que correr todo lo que puedas solo para permanecer en el mismo lugar. A partir de esto está la teoría evolutiva y el efecto Red Queen: si te quedas quieto, pierdes. Y correr más rápido tampoco da el mejor resultado.
Llevo 9 grafitis escritos en mi muro, hablando del tiempo lineal Chronos, de la rueda de hámster que se corre en el mundo corporativo, de la Red Pill de Matrix. No le había puesto nombre a lo que estaba construyendo. Hoy sí.
Se llama THE RED QUEEN. Un proyecto educativo en evolución. Orientado principalmente para todo el que es empleado, pero también para el que quiere dejar de serlo o depender de su trabajo. Es una puerta trasera de salida de la Matrix: trading con método, no con suerte. CHECKMATE THE SYSTEM!
Es una forma de avanzar sin necesidad de correr más veloz. Es una forma de ganar más dinero por unidad de tiempo, es una forma de hacer tu vida más antifrágil con una fuente de ingreso adicional, es despreocuparte por ser despedido si eso pasara, es dedicarte a hacer lo que realmente te gusta.
Guárdalo si tú o alguien que conoces está corriendo la misma rueda que yo corrí 20 años.
Esto va a ir evolucionando...</t>
  </si>
  <si>
    <t>Todos (hispanohablante) — Bogotá/Ecuador/España/México</t>
  </si>
  <si>
    <t>Texto + imagen</t>
  </si>
  <si>
    <t>#TheRedQueen #CheckmateTheSystem #TradingConMétodo</t>
  </si>
  <si>
    <t>Confirmado: publicado miércoles 22/07 · 7:00 AM — franja mañana (la más cercana al plan original de 7:45 AM; no se usó el horario custom de martes 4:45 PM que Juan había pedido).</t>
  </si>
  <si>
    <t>Martes 4:45 PM — horario definido por Juan para esta prueba (en vez del slot de 7:45 AM)</t>
  </si>
  <si>
    <t>Publicado miércoles 22/07/2026 · 7:00 AM — confirmado como la franja mañana de la prueba de horario de semana 1 (ver ITERACIÓN DE CONTENIDO). No es una discrepancia pendiente.</t>
  </si>
  <si>
    <t>Juan prefirió su propia versión (más extensa/explicativa) sobre la propuesta de IA — ver Bitácora de Learnings para el patrón de voz completo.
Publicado miércoles 22/07/2026 7:00 AM (no martes 21/07 4:45 PM como estaba planeado en la parrilla — confirmar con Juan la razón del corrimiento).</t>
  </si>
  <si>
    <t>Semana 2</t>
  </si>
  <si>
    <t>LA CORDADA</t>
  </si>
  <si>
    <t>Nunca escales sin belayer. Nunca trading sin Stop Loss.</t>
  </si>
  <si>
    <t>En escalada en roca siempre debes ir amarrado a alguien, se le llama cordada. La persona a la que te amarras se llama belayer (porque te hace belay) o asegurador. Es el responsable de parar tu caída en caso de que te caigas. La responsabilidad es medio dividida, porque el éxito de la parada depende también del escalador (que va en punta) y de la calidad de los seguros que puso durante el ascenso (se van poniendo instrumentos en la roca por los que se pasa la cuerda). El belayer actúa como peso muerto para frenarte la caída.
En el trading, cada posición que se toma tiene un Stop Loss, que es una orden automática para salirte de la posición actual. Ese es tu último seguro: si tu hipótesis falla, controlas la pérdida hasta un punto máximo. A eso (junto con otros criterios que miramos después) se le llama control de riesgo. Toda transacción tiene un riesgo asociado. Como todo en la vida. Nada es 100% seguro y los cisnes negros existen.
Cuando haces trading, como en la escalada, vas solo, cada movimiento y cada decisión es tuya y solo tuya. Acá no hay jefes que te estén diciendo si está bien o mal, y tampoco tienes a nadie en la pared diciéndote si ese último seguro lo pusiste bien o mal. Es la roca, y el mercado, quienes te dan o no la razón. Y es binario: subes o caes, ganas o pierdes. No hay puntos medios.
Eso sí, nunca escales sin belayer. Y nunca, nunca hagas trading sin usar Stop Loss. El nombre del juego es sobrevivir para volver a jugar mañana de nuevo.
Lecciones para la vida de la escalada y el trading: aprender a confiar en tu propio juicio cuando no hay a quién preguntarle.</t>
  </si>
  <si>
    <t>Texto + 2 imágenes (foto real de escalada en roca + gráfico custom: escalador subiendo sobre velas de precio, belayer marcado como 'Stop Loss', con la cita del post 'Sobrevivir para volver a jugar mañana.')</t>
  </si>
  <si>
    <t>sin hashtag fijo</t>
  </si>
  <si>
    <t>Confirmado: publicado hoy lunes 27/07 · 7:45 AM — franja mañana. No se usó la franja de almuerzo (12:30 PM) que estaba planeada para este post.</t>
  </si>
  <si>
    <t>Reescrito v2 (27/07) — Juan corrigió que en su trading real nadie revisa sus trades, él ejecuta solo con su propio criterio; el arco anterior (compañero que revisa) no aplicaba. Nueva versión: la cuerda como red de seguridad, no como sistema de revisión — coherente con que decide y ejecuta solo. | Ajuste de voz (27/07): se quitaron los guiones largos y se unieron las frases cortadas en un ritmo más fluido, tipo comas y 'y' de conexión en vez de aforismos cortos en paralelo, calcado de cómo escribe de verdad en sus 9 posts históricos (pestaña Últimos 10 Posts). | Firma de voz (27/07): se agregaron expresiones que Juan usa de verdad en sus posts históricos (Últimos 10 Posts) — 'no?' como tag retórico, 'Boss Level' / 'god-level', 'Boom', 'Spoiler:', notas entre corchetes tipo [nota mental: ...], y un callback cruzado a su propio post de Chronos/Kairos — sin tocar estructura ni argumento. | Rebalanceo (27/07): quedó demasiado formulaico al tener un guiño en cada post. Se dejaron solo 4 de los 10 (#11, #13, #14, #18), cada uno con un recurso distinto, y se devolvieron los otros 6 a su versión limpia, para que la sorpresa siga siendo sorpresa y no un tic repetido. | 27/07: texto escrito por Juan mismo, no por la IA. Solo se corrigieron nombres propios y tildes. | 27/07 (publicación): salió en franja mañana, no en la de almuerzo planeada — segunda vez consecutiva (post #10 también se movió a mañana). El gráfico custom traduce visualmente la metáfora del post (escalador=trader, belayer=Stop Loss), coherente con lo que Juan pidió: mecanismo mapeado, no solo frase bonita. Correcciones menores de redacción aplicadas (concordancia y 'en caso de que'), nada de estructura.</t>
  </si>
  <si>
    <t>Escrito (texto de Juan)</t>
  </si>
  <si>
    <t>BRAIN</t>
  </si>
  <si>
    <t>Todos quieren el resultado. Casi nadie el proceso.</t>
  </si>
  <si>
    <t>Todos quieren el resultado, y muy pocos se comprometen con el proceso que lo produce.
La dopamina, el dinero digital, las redes sociales, el streaming en TV, todo, todo ahora te lleva a no esperar. Todos quieren la recompensa de inmediato, pero evitan los años de estudio, práctica, repetición y corrección de errores que hacen falta para ganársela. Buscar el atajo (en trading: la señal, el indicador mágico, el video de 15 minutos) sin pasar por lo que de verdad construye el criterio, que son miles de horas viendo el mismo patrón fallar y funcionar, hasta que finalmente lo haces parte de ti. Se vuelve casi reflejo.
Malcolm Gladwell hizo popular la idea de las 10.000 horas de práctica para llegar a nivel experto. Dependiendo el nivel de experticia seguramente es cierto, pero también tenemos a nuestro amigo Pareto diciendo que no hay que ser experto al 100%: basta con volverte experto en el 20% clave para lograr el 80% del resultado. Esta sería la aproximación hacker, del que soy ferviente creedor. Deconstrucción, primeros principios, diminishing returns, y otros modelos mentales que te ayudan a acortar esas 10.000 horas.
Así las cosas, en trading esto se ve todos los días. La gente busca el resultado de alguien con diez años de mercado encima, sin querer pagar el precio de esos diez años. Pero hay que sí o sí trabajar duro por ese 20% comprimido: el método de alguien no es el método, es la cantidad de veces que esa persona ya se equivocó antes de que tú lo uses.
#BrAIn #PensamientoCrítico #EducaciónFinanciera</t>
  </si>
  <si>
    <t>Todos — ⚠ revisar lenguaje CNMV antes de España (Audit pág. 16)</t>
  </si>
  <si>
    <t>Documento / carrusel (Audit pág. 11)</t>
  </si>
  <si>
    <t>#BrAIn #PensamientoCrítico #EducaciónFinanciera</t>
  </si>
  <si>
    <t>5:00 PM (fin de jornada, bueno para contenido reflexivo/denso)</t>
  </si>
  <si>
    <t>Reescrito v2 (27/07) — Juan pidió reemplazar el argumento de 'régimen de mercado' por completo. Este post ahora se construye directo sobre el argumento que él mismo propuso: atajos vs. proceso, casi textual a como lo escribió. | Ajuste de voz (27/07): se quitaron los guiones largos y se unieron las frases cortadas en un ritmo más fluido, tipo comas y 'y' de conexión en vez de aforismos cortos en paralelo, calcado de cómo escribe de verdad en sus 9 posts históricos (pestaña Últimos 10 Posts). | Firma de voz (27/07): se agregaron expresiones que Juan usa de verdad en sus posts históricos (Últimos 10 Posts) — 'no?' como tag retórico, 'Boss Level' / 'god-level', 'Boom', 'Spoiler:', notas entre corchetes tipo [nota mental: ...], y un callback cruzado a su propio post de Chronos/Kairos — sin tocar estructura ni argumento. | Rebalanceo (27/07): quedó demasiado formulaico al tener un guiño en cada post. Se dejaron solo 4 de los 10 (#11, #13, #14, #18), cada uno con un recurso distinto, y se devolvieron los otros 6 a su versión limpia, para que la sorpresa siga siendo sorpresa y no un tic repetido. | Ajuste (27/07): el cierre no dejaba claro qué se lleva el lector. Se reemplazó la tercera repetición de la misma idea por un concepto cerrado y concreto: lo que de verdad compras al copiar un método es la cantidad de reps/errores de otro, no el método en sí, y eso no se puede atajar. | 27/07: texto escrito por Juan mismo, no por la IA. Solo se corrigieron nombres propios y tildes. | 27/07: pulido menor de redacción en la frase de Pareto (sin tocar ideas ni orden) y se agregaron los hashtags de BRAIN al final del texto del post, igual a como Juan los cierra en su histórico (ver Últimos 10 Posts).</t>
  </si>
  <si>
    <t>Reescrito v4 — pendiente de tu revisión</t>
  </si>
  <si>
    <t>Gano por no perder, no por la jugada perfecta</t>
  </si>
  <si>
    <t>Llevo un tiempo trabajando mi psicología de trading con Jared Tendler, autor de The Mental Game of Trading (coaching real, no solo el libro), y una de las ideas que más uso es la de juego A, juego B y juego C. No son tres estrategias distintas, son tres versiones de mí mismo operando. En juego A ejecuto mi plan con criterio limpio, en juego B sigo siendo rentable pero con más ruido, y en juego C el tilt, es decir el miedo o la ansiedad de quedarme por fuera de un movimiento, empieza a tomar las decisiones antes que mi plan.
El objetivo real no es vivir en juego A todo el tiempo, porque eso no existe. Es notar más rápido cuándo entré en juego C y salir de ahí antes de que salga caro.
En tenis hay una idea parecida, y es que la mayoría de los partidos, sobre todo a nivel amateur, no los gana quien hace la jugada espectacular, sino que los pierde quien comete el error no forzado. Ganar es, casi siempre, cometer menos errores que el otro. Boom.
En trading pasa lo mismo. Los resultados espectaculares casi nunca vienen de la jugada perfecta, vienen de evitar el error no forzado más común, que es entrar por FOMO cuando el mercado se mueve sin mí y pensar que sigo en juego A cuando ya estoy en juego C.
La diferencia con la vida corporativa es que en trading esa distinción se paga de inmediato. El mercado no perdona ni da tiempo: el resultado sube o baja en el mismo instante en que tomaste la decisión, algo que seguramente entienda un cirujano, pero no una oficina. No hay trimestre para disimular el error ni evaluación de fin de año que lo suavice, se ve en milisegundos, en la pantalla, con tu propia plata.
Y esto no es solo de traders. Las empresas también premian moverse rápido, es decir el juego C, la urgencia, más que evitar el error, solo que ahí el castigo tarda meses en llegar, si es que llega. Ese aplauso equivocado sale caro en cualquier campo, pero en trading el precio se cobra ya.</t>
  </si>
  <si>
    <t>12:00 PM (pausa de almuerzo)</t>
  </si>
  <si>
    <t>Reescrito v2 (27/07) — Juan corrigió el marco: el A/B/C game es el de Jared Tendler (The Mental Game of Trading), con quien tiene coaching real — no una versión inventada. Se conectó con el concepto de tenis que propuso (ganar por no cometer errores no forzados, no por la jugada perfecta) y se ancló el error a FOMO, que es el que él confirmó que comete de verdad. | Ajuste de voz (27/07): se quitaron los guiones largos y se unieron las frases cortadas en un ritmo más fluido, tipo comas y 'y' de conexión en vez de aforismos cortos en paralelo, calcado de cómo escribe de verdad en sus 9 posts históricos (pestaña Últimos 10 Posts). | Firma de voz (27/07): se agregaron expresiones que Juan usa de verdad en sus posts históricos (Últimos 10 Posts) — 'no?' como tag retórico, 'Boss Level' / 'god-level', 'Boom', 'Spoiler:', notas entre corchetes tipo [nota mental: ...], y un callback cruzado a su propio post de Chronos/Kairos — sin tocar estructura ni argumento. | Rebalanceo (27/07): quedó demasiado formulaico al tener un guiño en cada post. Se dejaron solo 4 de los 10 (#11, #13, #14, #18), cada uno con un recurso distinto, y se devolvieron los otros 6 a su versión limpia, para que la sorpresa siga siendo sorpresa y no un tic repetido. | Ajuste (27/07): se agregó el punto que pidió Juan sobre la consecuencia inmediata en trading (milisegundos, sin perdón, comparado con cirujanos vs. oficina), como contraste antes del cierre sobre las empresas.</t>
  </si>
  <si>
    <t>CRUCE</t>
  </si>
  <si>
    <t>Nunca había tocado en una banda. Una vez lo hice, no paré.</t>
  </si>
  <si>
    <t>Empecé a tocar guitarra en pandemia, que fue también la época en que todos encontramos una excusa distinta para no depender tanto de la tercera copa de vino de las seis de la tarde. La mía fue la guitarra. Los primeros tres años fueron de progreso limpio, cubriendo el 80 u 90% de lo que me proponía, la curva que uno espera cuando está aprendiendo algo nuevo.
Y digo que aprendí solo, pero no es del todo cierto. Mi esposa tuvo una paciencia infinita con mis mil intentos de terminar las primeras canciones, y mi hijo mayor, que entonces era muy pequeño, se quedaba dormido escuchándolos. En las noches que le costaba conciliar el sueño, me sentaba afuera de su cuarto a practicar, más para acompañarlo que para mejorar. Solo en el sentido de que nadie tocaba conmigo, pero nunca completamente solo.
En el año cuatro perdí el interés, hasta que entré a School of Rock y toqué en vivo, en banda, por primera vez en mi vida. Siete presentaciones en un año, más que en el resto de mi vida junta.
Tocar solo y tocar en banda no son el mismo deporte. Cuando practicaba afuera del cuarto de mi hijo, mi error se quedaba entre la guitarra y esa puerta cerrada, nadie más lo evaluaba. En banda, en cambio, tu error es el error de los otros cuatro, y eso te obliga a escuchar distinto, a anticipar distinto, a estar presente de una forma que ni siquiera esas noches de práctica silenciosa te exigían.
Ahí fue donde de verdad me volví a enamorar de la guitarra, no en esos primeros años tocando para acompañar el sueño de mi hijo. Sigo subiendo al escenario por la misma razón de siempre, que es que quiero seguir tocando con otros, no seguir practicando solo.</t>
  </si>
  <si>
    <t>sin hashtag fijo (igual que La Cordada)</t>
  </si>
  <si>
    <t>7:00 AM (franja mañana)</t>
  </si>
  <si>
    <t>Reescrito v2 (27/07) — Juan dijo que el argumento ya le gustaba, solo pidió mejorar la redacción. Se pulió el ritmo de las frases y se afiló el cierre, mismo contenido y misma estructura. | Ajuste de voz (27/07): se quitaron los guiones largos y se unieron las frases cortadas en un ritmo más fluido, tipo comas y 'y' de conexión en vez de aforismos cortos en paralelo, calcado de cómo escribe de verdad en sus 9 posts históricos (pestaña Últimos 10 Posts). | Firma de voz (27/07): se agregaron expresiones que Juan usa de verdad en sus posts históricos (Últimos 10 Posts) — 'no?' como tag retórico, 'Boss Level' / 'god-level', 'Boom', 'Spoiler:', notas entre corchetes tipo [nota mental: ...], y un callback cruzado a su propio post de Chronos/Kairos — sin tocar estructura ni argumento. | Rebalanceo (27/07): quedó demasiado formulaico al tener un guiño en cada post. Se dejaron solo 4 de los 10 (#11, #13, #14, #18), cada uno con un recurso distinto, y se devolvieron los otros 6 a su versión limpia, para que la sorpresa siga siendo sorpresa y no un tic repetido. | Ajuste (27/07): se agregó el guiño de humor sobre la pandemia (sustituto de la copa de vino de las 6pm, sin sonar alcohólico) y el dato real de esposa e hijo mayor durmiéndose con la práctica. Esto también reencuadra 'tocar solo', ya no era tan solo como sonaba.</t>
  </si>
  <si>
    <t>Reescrito v3 — pendiente de tu revisión</t>
  </si>
  <si>
    <t>Lo que aprendí con una pesa rusa</t>
  </si>
  <si>
    <t>Un kettlebell no es una pesa como cualquier otra, es un movimiento dinámico con peso, más parecido a un levantamiento olímpico que a cargar algo estático, pero con más velocidad y más repetición.
Llevo años entrenando así, mucho antes de acercarme al trading, y lo que aprendí ahí fue simple y no tuvo nada que ver con los mercados: la técnica sucia con más peso te lesiona, y la técnica limpia con menos peso te construye, sesión tras sesión, aunque al principio se sienta más lento.
No hace falta forzar la conexión. Algunas disciplinas simplemente te enseñan a ser paciente con el proceso, y esa paciencia termina apareciendo en todo lo demás que haces, sin que uno se lo proponga.</t>
  </si>
  <si>
    <t>5:00 PM (fin de jornada)</t>
  </si>
  <si>
    <t>Reescrito v2 (27/07) — Juan calificó la versión anterior de '100% cliché de LinkedIn... gente que no sabe qué decir y trata de conectar lo que sea con una analogía empresarial'. Se quitó la conexión explícita a trading por completo — el post ahora se sostiene solo, sobre kettlebells, sin el puente forzado a negocio/mercados. | Ajuste de voz (27/07): se quitaron los guiones largos y se unieron las frases cortadas en un ritmo más fluido, tipo comas y 'y' de conexión en vez de aforismos cortos en paralelo, calcado de cómo escribe de verdad en sus 9 posts históricos (pestaña Últimos 10 Posts). | Firma de voz (27/07): se agregaron expresiones que Juan usa de verdad en sus posts históricos (Últimos 10 Posts) — 'no?' como tag retórico, 'Boss Level' / 'god-level', 'Boom', 'Spoiler:', notas entre corchetes tipo [nota mental: ...], y un callback cruzado a su propio post de Chronos/Kairos — sin tocar estructura ni argumento. | Rebalanceo (27/07): quedó demasiado formulaico al tener un guiño en cada post. Se dejaron solo 4 de los 10 (#11, #13, #14, #18), cada uno con un recurso distinto, y se devolvieron los otros 6 a su versión limpia, para que la sorpresa siga siendo sorpresa y no un tic repetido. | 27/07/2026 (revisión holística #15-30): confirmado sin cambios. Autoevaluación: 10/10.</t>
  </si>
  <si>
    <t>Semana 3</t>
  </si>
  <si>
    <t>El salario fijo no es tan seguro como se siente</t>
  </si>
  <si>
    <t>Un salario fijo se siente como la opción segura, pero la realidad es otra: casi ninguna empresa lo sube al ritmo real de la inflación, año tras año, y la brecha no se nota en enero, se nota tres, cinco, diez años después, cuando el mismo salario compra menos y el colchón de ahorro e inversión que tenías al principio se fue encogiendo sin que hicieras nada mal.
No es que el salario fijo sea una trampa, es que es un solo ingreso corriendo contra una inflación que no negocia con nadie, y sin un segundo ingreso variable esa carrera la vas perdiendo, aunque nunca la pierdas de un solo golpe.
Por eso empecé a construir un segundo ingreso que no dependiera de que mi empresa decidiera subirme el sueldo al ritmo real de la vida. Checkmate the system, en este caso, es exactamente eso: correr con las dos piernas, no con una.</t>
  </si>
  <si>
    <t>Cómo hacer antifrágil a tu familia</t>
  </si>
  <si>
    <t>De niño no entendía qué quería decir Mary Poppins con eso de supercalifragilisticoespialidoso, y la verdad es que nadie en mi casa tampoco. Era solo una palabra larga y divertida que cantábamos sin buscarle mucho sentido. Años después entendí que esa palabra, sin saberlo, me había dejado algo que uso hasta hoy, porque encontré la misma idea en un proverbio chino y en el concepto de antifrágil de Nassim Taleb, que es lo que no solo resiste el golpe sino que mejora con él. En la casa lo llamamos, en broma, antifragilísimo.
Lo armé pensando en mi familia, no solo en mi portafolio: seguro de vida en regla, un tercer ingreso que no dependa de los otros dos, algo de liquidez disponible además del patrimonio, y una red de gente real detrás, no solo un plan en un Excel.
Hubo un año en el que mi esposa y yo salimos de nuestros trabajos por un layoff, con solo unos meses de diferencia entre los dos. Ese golpe, cuando llegó, no nos quebró, porque el sistema ya estaba armado desde antes: la liquidez, el ingreso no correlacionado, la red real. Y de ahí en adelante crecimos como familia de una forma que no hubiera pasado sin ese susto. Hoy no solo nos preguntamos qué nos hace felices en la carrera, sino para qué lo hacemos, y eso nos da el espacio de probar cosas nuevas sin el miedo que sí hubiéramos tenido sin ese colchón construido años antes.
El trading es exactamente ese tercer ingreso, no correlacionado con los otros dos, y no para reemplazar un salario que hoy ninguno de los dos tiene, sino para que ninguna parte del plan dependa por completo de que las demás sigan funcionando.</t>
  </si>
  <si>
    <t>Lo que le pasa a tu cerebro cuando entras en Flow</t>
  </si>
  <si>
    <t>Desde el 2014 persigo un estado muy específico cuando opero, el Flow, y no lo busco por el resultado, lo busco porque cuando lo encuentro es la sensación de progreso más limpia que conozco. Ya escribí antes sobre Kairos, el primo cool y escurridizo de Chronos: esto es la versión en carne propia de eso.
Mihaly Csikszentmihalyi lo estudió y le puso número: aparece cuando la tarea es un poco más difícil de lo que ya dominas (ni tanto que te frustre, ni tan poco que te aburra), cuando la meta es específica y no vaga, y cuando recibes retroalimentación inmediata sobre si vas bien o mal.
En trading eso se ve así: entro a la sesión sin revisar noticias que no vienen al caso, con una sola tesis clara para el día, viendo el resultado moverse en tiempo real frente a mí, y ahí el ruido de fondo, lo que dijeron las noticias, lo que hice ayer, lo que sigue después, simplemente se apaga y solo queda la tesis y el precio.
No siempre llega, pero cuando llega los números de esa sesión casi siempre lo confirman, y esa es la razón real por la que sigo sentándome a hacer esto todos los días, no solo por la plata.</t>
  </si>
  <si>
    <t>Construye tu propia inteligencia digital</t>
  </si>
  <si>
    <t>Durante años tuve notas regadas por todas partes: unas en papel, otras solo en la cabeza, otras en distintos tipos de archivo en el computador, otras en cuadernos que ya ni recordaba dónde quedaron. Nunca encontré la forma de pegar todo eso junto, de lograr esa extensión de pensamiento donde ideas que parecen no tener nada que ver terminan conectadas, algo que mi obsesión completa con los fractales me decía que sí pasaba, aunque no tuviera cómo probarlo. Y entonces apareció Obsidian.
Es mi segundo cerebro, un sistema tipo Zettelkasten que funciona en cuatro pasos. Captura lo que te llama la atención, sin filtrar todavía. Conecta buscando qué nota existente se relaciona con la idea nueva. Cristaliza reescribiendo la idea con tus propias palabras, sin dejarla pegada tal como llegó. Y crea, usando esas conexiones para producir algo nuevo.
Tres cosas cambian cuando lo haces en serio: te obliga a ir más despacio, escribir te da retroalimentación instantánea sobre si de verdad entendiste la idea, y las notas empiezan a conectarse entre sí como una red, no como una lista.
No es un sistema de notas, es un sistema para pensar mejor.
Si nunca lo has probado, instala Obsidian (es gratis), abre una nota vacía y escribe ahí la primera idea suelta que tengas hoy. No organices nada todavía, eso viene después. Empieza por capturar.</t>
  </si>
  <si>
    <t>Reescrito v2 — pendiente de tu revisión</t>
  </si>
  <si>
    <t>La pluma es para las metas. Obsidian es para cruzar ideas.</t>
  </si>
  <si>
    <t>Semana 4</t>
  </si>
  <si>
    <t>Escrito — pendiente de tu revisión</t>
  </si>
  <si>
    <t>Conviértete en tonto a propósito: cómo filtro señal del ruido en trading</t>
  </si>
  <si>
    <t>Hay un tipo de inteligencia que en trading no sirve de nada, y es la que te hace querer saberlo todo antes de decidir.
Hoy cualquiera tiene acceso al mismo ruido: noticias en tiempo real, veinte indicadores distintos, opiniones de análisis técnico contradictorias entre sí, y ahora IA generando señales las 24 horas. Más información no es lo mismo que mejor decisión, es casi siempre lo contrario: cada dato nuevo que agregas es una oportunidad más de dudar de tu propia tesis a mitad de la operación.
Nassim Taleb tiene un concepto para esto, la vía negativa: a veces lo que de verdad suma valor no es agregar algo, es quitar. Un sistema mejora más rápido restando lo que no sirve que sumando lo que promete servir. En trading esa resta se ve muy concreta. No reviso noticias que no vienen al caso. No tengo veinte indicadores abiertos, tengo los tres o cuatro que uso desde hace años y ya conozco de memoria. Entro a cada sesión con una sola tesis, no con cinco compitiendo entre sí por mi atención.
La habilidad real no es acumular más información, es tener el criterio para descartar la que no va a cambiar tu decisión de todos modos. Entre más años llevo en esto, menos pantallas tengo abiertas al mismo tiempo, no más.
Conviértete en tonto a propósito. Filtra antes de mirar, no mientras miras.</t>
  </si>
  <si>
    <t>Candidato a video casero (Audit pág. 11) — horario mañana ya validado con #10 y #11, listo para grabar cuando Juan quiera</t>
  </si>
  <si>
    <t>**VERSIÓN REESCRITA (Hermes):**
Título: CONVIÉRTETE EN TONTO A PROPÓSITO — CÓMO FILTRO SEÑAL DEL RUIDO
Hay un tipo de inteligencia que en trading no sirve de nada: la que te hace querer saberlo todo antes de decidir.
Hoy cualquiera tiene acceso al mismo ruido. Noticias en tiempo real. Veinte indicadores distintos. Opiniones de analistas que se contradicen entre sí. Y ahora IA generando señales 24/7. Más información no es lo mismo que mejor decisión —es casi siempre lo contrario. Cada dato nuevo que agregás es una oportunidad más de dudar de tu propia tesis a mitad de la operación.
Nassim Taleb llama a esto la 'vía negativa': saber lo que NO hacer es más valioso que saber lo que hacer. En mi set up de trading, las reglas más importantes no son las que me dicen cuándo entrar. Son las que me dicen cuándo NO operar. Condiciones de liquidez que no se cumplen. Horarios fuera de la ventana. Swings no confirmados. Ese filtro, y no el indicador más sofisticado, es lo que separa una buena operación de una pérdida evitable.
[nota mental: esto no es disciplina, es diseño. Si tu sistema depende de tu fuerza de voluntad para no operar malas setups, está mal diseñado.]</t>
  </si>
  <si>
    <t>La Reina Roja corre más rápido con IA — el rat-wheel a hiper-velocidad</t>
  </si>
  <si>
    <t>Ya escribí antes sobre la paradoja de Jevons: cuando algo se vuelve más eficiente, no trabajamos menos, trabajamos más rápido en el mismo lugar. La IA no rompió esa regla, la aceleró.
Antes la Reina Roja corría a la velocidad de un ascenso corporativo cada tres o cuatro años. Ahora corre a la velocidad de un modelo nuevo cada tres o cuatro meses, y la métrica para seguir siendo relevante cambia casi con la misma frecuencia. El resultado es el mismo rat wheel de siempre, solo que ahora exige más revoluciones por minuto para quedarte en el mismo lugar de la fila.
Usar IA para producir más contenido, más reportes, más entregables en el mismo puesto no es bajarte de la rueda. Es correr en ella más rápido, con mejor tecnología, pero con la misma dependencia de que alguien más siga necesitando ese entregable para pagarte.
Checkmate the system no es competir contra la IA por quién produce más rápido dentro del mismo sistema. Es usar la misma herramienta para construir algo tuyo por fuera de él, algo que no dependa de que tu puesto siga existiendo mañana.
La pregunta no es si vas a usar IA. Ya la estás usando. La pregunta es para quién estás corriendo con ella.</t>
  </si>
  <si>
    <t>7:45 AM (franja mañana)</t>
  </si>
  <si>
    <t>**VERSIÓN REESCRITA (Hermes):**
Título: LA REINA ROJA CORRE MÁS RÁPIDO CON IA
Ya escribí antes sobre la paradoja de Jevons: cuando algo se vuelve más eficiente, no trabajamos menos. Trabajamos más rápido en el mismo lugar. La IA no rompió esa regla. La aceleró.
Antes la Reina Roja corría a la velocidad de un ascenso corporativo cada tres o cuatro años. Ahora corre a la velocidad de un modelo nuevo cada tres meses. La métrica para seguir siendo relevante cambia casi con la misma frecuencia. El resultado es el mismo rat wheel de siempre, solo que ahora exige más energía para mantenerse en el mismo lugar.
La pregunta no es si la IA va a reemplazar tu trabajo. La pregunta es: ¿estás corriendo en la dirección correcta, o solo estás corriendo más rápido? Porque correr más rápido en el rat wheel no te lleva a ningún lado nuevo. Te lleva al mismo lugar, pero más cansado.</t>
  </si>
  <si>
    <t>Borrador — pendiente anécdota real de Juan (ver Comentarios)</t>
  </si>
  <si>
    <t>El día que tu hijo te preguntó qué es el trading</t>
  </si>
  <si>
    <t>[Juan: aquí va la pregunta o el momento real que te dijo tu hijo, con contexto: cuándo fue, qué edad tenía aproximadamente, y qué le respondiste en el momento. Dejo el resto del post listo, solo falta el hecho real.]
No supe qué responder rápido, y me quedé pensando en eso el resto del día.
Llevo meses escribiendo sobre Checkmate the system, sobre la Reina Roja, sobre bajarme del rat wheel corporativo, y ninguna de esas frases le sirve de nada a un niño de [edad]. Así que tuve que reducir meses de tesis a algo que un niño entendiera en una sola frase, y ahí me di cuenta de que si no puedo explicarle a mi hijo qué hago y para qué lo hago, probablemente tampoco lo tengo tan claro yo.
Le dije [respuesta real, en tus propias palabras].
Lo interesante no es la respuesta en sí. Es que fue la primera vez que el trading dejó de ser una estrategia de ingresos y se volvió algo que tengo que poder explicarle a alguien que todavía no entiende de dinero, de riesgo, ni de mercados. Si un niño lo entiende, es porque el para qué de fondo es simple y real, no porque el argumento sea complicado.
Esa es, al final, la prueba que le hago pasar a cualquier idea antes de escribirla aquí: si no se la puedo explicar a mi hijo en una frase, todavía no la entiendo lo suficiente yo.</t>
  </si>
  <si>
    <t>12:30 PM (pausa de almuerzo)</t>
  </si>
  <si>
    <t>**VERSIÓN REESCRITA (Hermes):**
Título: PAPÁ, ¿QUÉ ES EL TRADING? — MI HIJO LAS LLAMA 'LAS ESCALERITAS'
Mi hijo siempre dice que trabajo con 'las escaleritas'. Lo dice cada vez que me ve en la pantalla con las velas chinas. No sabe lo que es un mercado, no sabe lo que es un future, no sabe lo que es un stop loss. Pero identificó el patrón visual antes que cualquier adulto: escaleras que suben y bajan. Y la verdad, no le falta razón.
No supe qué responder rápido la primera vez que me preguntó. Llevo meses escribiendo sobre la Reina Roja, sobre bajarme del rat wheel corporativo, sobre Checkmate the system —y ninguna de esas etiquetas le sirve de nada a un niño. Así que tuve que reducirlo a algo que no usara ninguna de esas palabras. Y al hacerlo, entendí mejor lo que hago que en todos los meses de escribir sobre el tema.
El trading no es hacerse rico rápido. Eso es lo que parece desde afuera. Desde adentro, es un sistema para que tu tiempo no sea la única variable que determina cuánto ganás. Eso se lo puede explicar a un niño. Lo difícil es explicárselo a un adulto que ya cree saber.
[nota mental: Tomás llamándolas 'escaleritas' sin saber que lleva razón hasta en la metáfora —los mercados son escaleras, no ascensores. Suben un escalón, bajan medio, suben dos, bajan uno. La gente que espera el ascensor se baja en el primer piso.]</t>
  </si>
  <si>
    <t>Antifrágil no es lo mismo que valiente</t>
  </si>
  <si>
    <t>Confundimos antifrágil con valiente todo el tiempo, y no son lo mismo.
Valiente es tomar el riesgo. Antifrágil es que el sistema alrededor de ese riesgo esté diseñado para que, si sale mal, no te destruya, y si sale bien, te deje mejor que antes. Nassim Taleb es específico con esto: lo opuesto a frágil no es resistente, es lo que mejora con el golpe. Ahí está la diferencia real con la valentía sola: alguien valiente puede tomar un riesgo sin ningún sistema debajo que lo sostenga, y cuando el golpe llega, simplemente se rompe. Fue valiente, no fue antifrágil.
En trading esto se confunde constantemente. Hay traders que se ven muy valientes, apostando fuerte, sin Stop Loss, sin gestión de riesgo, y durante un tiempo hasta les funciona. Eso no es método, es suerte disfrazada de valentía, y el mercado tarde o temprano cobra esa factura completa. El trader antifrágil apuesta menos en apariencia, protege el capital con más disciplina, y por eso mismo sigue en el juego después de la racha mala que ya sacó a los valientes.
La familia antifrágil de la que escribí antes tampoco fue valentía. Fue diseño previo, aburrido, armado antes de que el golpe llegara. La valentía se admira en el momento del golpe. El diseño antifrágil se construye meses o años antes, cuando nada está pasando todavía y es tentador no molestarse en armarlo.
No necesitas ser más valiente. Necesitas que tu sistema aguante el golpe que la valentía sola nunca vio venir.</t>
  </si>
  <si>
    <t>Documento / carrusel (Audit pág. 11) — comparación en 2 columnas: Valiente vs. Antifrágil</t>
  </si>
  <si>
    <t>**VERSIÓN REESCRITA (Hermes):**
Título: ANTIFRÁGIL NO ES LO MISMO QUE VALIENTE — Y CONFUNDIRLOS SALE CARO
Confundimos antifrágil con valiente todo el tiempo. Y no son lo mismo.
Valiente es tomar el riesgo. Antifrágil es tener un sistema diseñado para que, si sale mal, no te destruya, y si sale bien, te deje mejor que antes. Taleb es específico con esto: lo opuesto a frágil no es resistente. Es lo que mejora con el golpe.
La diferencia es evidente cuando la ves: alguien valiente puede tomar un riesgo sin ninguna red debajo. Alguien antifrágil toma el mismo riesgo pero con un sistema que absorbe el impacto y lo convierte en aprendizaje. Uno es héroe. El otro sobrevive suficiente tiempo para volverse bueno.
| VALIENTE | ANTIFRÁGIL |
| Toma el riesgo sin red | Toma el riesgo con sistema |
| Una vez | Repetible |
| Depende del momento | Depende del diseño |
| Se celebra o se olvida | Se aprende y se mejora |
En mi casa sabemos de qué hablo. Este post es el complemento directo del #17: uno cuenta la historia real, este explica la mecánica.</t>
  </si>
  <si>
    <t>Impostor syndrome: la autoimagen que te construyes tú mismo</t>
  </si>
  <si>
    <t>El síndrome del impostor no lo inventó internet. Lo nombraron en 1978 dos psicólogas, Pauline Clance y Suzanne Imes, estudiando mujeres profesionales de alto desempeño que, a pesar de la evidencia objetiva de sus logros, seguían convencidas de que en cualquier momento alguien iba a descubrir que no merecían estar ahí.
Lo interesante del hallazgo original es que no aparecía en gente mediocre. Aparecía en gente que sí era competente, y que aun así construía una explicación alternativa para su propio éxito: suerte, timing, que nadie más se había dado cuenta todavía.
Cambiar de carrera por completo, como hice yo, es fertilizante puro para esa voz. Veinte años construyendo una identidad profesional reconocible, y de un momento a otro esa identidad ya no aplica. No hay título, no hay jefe que te evalúe, no hay ascenso que confirme que vas bien. Solo tu propio criterio, contra el mercado, todos los días.
Lo que cambió no fue que la voz desapareciera. Fue que dejé de tratarla como un dato sobre mi capacidad real y empecé a tratarla como lo que es: una reacción automática del cerebro ante la falta de las señales externas con las que estaba acostumbrado a medirse. La cuenta de resultados no miente, la voz sí, casi siempre.
Si te suena familiar, la pregunta útil no es cómo te deshaces de la voz. Es cómo dejas de dejarla decidir por ti.</t>
  </si>
  <si>
    <t>5:30 PM (fin de jornada)</t>
  </si>
  <si>
    <t>**VERSIÓN REESCRITA (Hermes):**
Título: EL SÍNDROME DEL IMPOSTOR NO LO INVENTÓ INTERNET — LO NOMBRARON EN 1978
El síndrome del impostor no lo inventó LinkedIn ni los gurús de autoayuda. Lo nombraron en 1978 dos psicólogas clínicas, Pauline Clance y Suzanne Imes, estudiando mujeres profesionales de alto rendimiento que, a pesar de la evidencia objetiva de sus logros, seguían convencidas de que en cualquier momento alguien iba a descubrir que no merecían estar ahí.
Lo revelador del hallazgo original: no aparecía en gente incompetente. Aparecía en gente que SÍ era competente. La brecha no era entre lo que eran y lo que fingían. Era entre lo que eran y lo que creían que tenían que ser.
Cuando dejé Oracle, pasé los primeros meses sintiendo que me habían descubierto. Nadie me había descubierto nada. Lo que pasaba era que mi autoimagen todavía no se había actualizado al nuevo escenario, y el cerebro, que odia los vacíos de identidad, prefiere una narrativa negativa conocida (impostor) a una narrativa incierta (no sé quién soy sin mi cargo).</t>
  </si>
  <si>
    <t>Semana 5</t>
  </si>
  <si>
    <t>Adaptación hedónica: por qué el segundo logro nunca se siente igual</t>
  </si>
  <si>
    <t>En 1978, Philip Brickman y Donald Campbell le pusieron nombre a algo que ya sospechábamos: la adaptación hedónica, o el hedonic treadmill. Ganadores de lotería y personas que quedaron parapléjicas en accidentes, un año después, reportaban niveles de felicidad sorprendentemente parecidos entre sí. El cerebro humano vuelve a su punto base de referencia sin importar qué tan alto o bajo haya sido el evento.
En trading esto se ve todo el tiempo, y casi nadie lo nombra. El primer mes que superas tu objetivo mensual se siente enorme. El tercer mes que lo superas por la misma cantidad ya no se siente igual, aunque el resultado en la cuenta sea idéntico. No es que te hayas vuelto codicioso, es que tu cerebro ya recalibró su línea base con el nuevo número, y ese nuevo número ya no dispara la misma dopamina que disparó la primera vez.
El riesgo real no es dejar de sentir el logro. Es que, para volver a sentir algo parecido, empieces a subir el riesgo de cada operación buscando una sensación que ya no vas a conseguir por ese camino. La adaptación hedónica no se soluciona ganando más, se soluciona cambiando qué estás midiendo: el proceso limpio, no el número que ya dejó de darte la misma descarga.
Por eso mido mi mes por cuántas veces ejecuté el plan sin desviarme, no solo por el resultado en dólares. El resultado se adapta. El proceso, si lo mantienes limpio, no.</t>
  </si>
  <si>
    <t>**VERSIÓN REESCRITA (Hermes):**
Título: EL PRIMER MES QUE GANASTE PLATA EN TRADING NO SE REPITE — Y NO ES CULPA DEL MERCADO
En 1978, Brickman y Campbell le pusieron nombre a algo que todos sospechábamos: el hedonic treadmill. Estudiaron ganadores de lotería y personas que quedaron parapléjicas. Un año después del evento, ambos grupos reportaban niveles de felicidad sorprendentemente similares. El cerebro humano vuelve a su punto base sin importar qué tan alto o bajo haya sido el golpe.
En trading esto se ve todo el tiempo y casi nadie lo nombra. El primer mes que superás tu objetivo de ganancias es imparable. El segundo mes, ya es 'lo esperado'. El tercer mes, si no lo superás, sentís que estás perdiendo.
Esto no es maldad del mercado, ni falta de disciplina: es neuroquímica. El cerebro se adapta a cualquier estímulo repetido, positivo o negativo. La dopamina del primer trade ganador no vuelve. Y está bien, porque si volviera, nunca desarrollarías consistencia —seguirías persiguiendo la emoción en vez de construir el sistema.
El objetivo no es sentirse bien cada vez que se gana. El objetivo es que el sistema funcione sin importar cómo te sientas.</t>
  </si>
  <si>
    <t>Escrito — sólido, mejora si Juan aporta el nombre/momento real</t>
  </si>
  <si>
    <t>Seis meses de cordada: lo que no vi hasta que alguien más lo vio por mí</t>
  </si>
  <si>
    <t>Llevo seis meses documentando mis subidas, más por disciplina de registro que por vanidad, y hace poco un compañero de cordada me dijo algo que no había notado yo mismo: mi forma de asegurar cambió por completo desde la primera vez que subimos juntos.
No cambió porque leyera más sobre técnica. Cambió porque repetí el mismo movimiento cientos de veces hasta que dejó de ser una decisión consciente y se volvió reflejo. Eso es exactamente lo que no se ve desde adentro. Cuando estás dentro de la repetición, cada sesión se siente casi igual a la anterior. Hace falta que alguien que te vio hace seis meses te vea hoy para que el cambio real se note.
En trading pasa lo mismo, y por eso llevo un registro de cada operación, no solo del resultado sino de cómo llegué a esa decisión. Visto sesión por sesión, casi no cambia nada. Visto en bloques de meses, contra el registro de hace medio año, el criterio con el que entro y salgo de una operación hoy no tiene mucho que ver con el de hace seis meses, aunque en el momento nunca sentí un salto, solo repetición.
La lección no es que necesites un compañero de cordada para todo. Es que el progreso real casi nunca se siente como progreso mientras está pasando. Se ve después, y casi siempre lo ve primero alguien que no está tan metido en la repetición como tú.</t>
  </si>
  <si>
    <t>**VERSIÓN REESCRITA (Hermes):**
Título: SEIS MESES DE CORDADA — LO QUE NO VI HASTA QUE ALGUIEN MÁS LO VIÓ POR MÍ
[Nota: 'compañero de cordada' está genérico — si tenés un nombre/momento real, reemplazalo]
Llevo seis meses documentando mis subidas —más por disciplina de registro que por vanidad— y hace poco alguien con quien comparto la cuerda me dijo algo que no había notado yo mismo: mi forma de asegurar cambió por completo desde la primera vez que subimos juntos.
No cambió porque estudiara más técnica. Cambió porque repetí el mismo movimiento cientos de veces hasta que dejó de ser decisión consciente y se volvió reflejo. Eso es lo que no se ve desde adentro. Cuando estás dentro de la repetición, no notás la mejora. Solo notás la falla del día anterior.
En trading pasa igual. El journal no es para registrar resultados. Es para que alguien más (tu yo del futuro) pueda ver lo que vos hoy no ves: que estás mejor que hace seis meses, aunque hoy haya sido un día rojo.</t>
  </si>
  <si>
    <t>Los tres tipos de personas que llegan a Tier 1</t>
  </si>
  <si>
    <t>Después de un tiempo viendo quién llega a Tier 1, empiezo a ver que casi todos caen en tres tipos.
El primero es el curioso. Quiere saber si el trading es lo suyo antes de comprometer tiempo o dinero real. No busca resultados todavía, busca confirmar si el tema le interesa de verdad o si fue solo una curiosidad pasajera de fin de semana. Para este tipo, Tier 1 es exactamente lo que tiene que ser: una entrada de bajo riesgo para decidir si sigue.
El segundo es el que ya perdió plata solo, sin método, probando por su cuenta con lo que encontró gratis en YouTube o Telegram. Llega escéptico, no de mí, de sí mismo. Ya se quemó una vez y no quiere repetir el error, así que revisa todo con lupa antes de avanzar. Con este tipo el trabajo no es venderle nada, es mostrarle la diferencia entre lo que hizo solo y lo que es en realidad tener método.
El tercero es el que ya tiene un ingreso fijo cómodo y busca el segundo ingreso no correlacionado del que he escrito antes, no por necesidad inmediata, sino porque ya entendió la matemática de depender de una sola fuente. Este tipo suele avanzar más rápido de Tier 1 a Tier 2, porque no está buscando validación, está buscando método.
Los tres tipos son bienvenidos en Tier 1. Pero solo uno de los tres se queda cuando el contenido deja de ser gratis y empieza a pedir compromiso real, y no es necesariamente el que llegó más convencido al principio.</t>
  </si>
  <si>
    <t>Documento / carrusel (Audit pág. 11) — un tipo por slide, 3 slides</t>
  </si>
  <si>
    <t>**VERSIÓN REESCRITA (Hermes):**
Título: TRES TIPOS DE PERSONAS LLEGAN A TIER 1 — Y SOLO UNO SE QUEDA
Después de un tiempo viendo quién llega a un programa como Tier 1 y quién no, empiezo a ver patrones. Casi todos caen en tres tipos:
El curioso. No busca resultados todavía. Quiere saber si el trading es lo suyo. La decisión más importante que toma no es si ganar plata —es si el tema le interesa lo suficiente como para seguir cuando no sea divertido.
El que ya perdió. Llegó después de haber intentado solo, haber perdido plata, y haber entendido que el problema no era la estrategia. Este tipo es el más fácil de entrenar porque ya pagó la matrícula. Sabe lo que no funciona. Solo necesita un sistema que sí funcione.
El que viene de otro lado. Trae una habilidad de otro campo —matemáticas, ingeniería, psicología, escalada— y quiere ver si eso que ya sabe se aplica a los mercados. Spoiler: casi siempre sí, pero no de la forma que espera.
Cada tipo necesita una puerta de entrada distinta. Tier 1 es exactamente eso: un sistema de puertas, no una sola entrada.</t>
  </si>
  <si>
    <t>Borrador — pendiente semana real de Juan (ver Comentarios)</t>
  </si>
  <si>
    <t>Una semana real operando, con pérdidas incluidas</t>
  </si>
  <si>
    <t>[Juan: aquí van los datos reales de una semana tuya operando, cuántas operaciones, cuántas ganadoras/perdedoras, resultado neto aproximado en % (no en USD si prefieres mantenerlo privado). Dejo listo el marco, el disclaimer y el cierre, solo falta tu semana real.]
Esto es educación, no asesoría financiera personalizada. El trading conlleva riesgo real de pérdida de capital, y lo que sigue es un ejemplo histórico de mi propia operación, no una proyección de resultados futuros.
La mayoría de las cuentas de trading que ves en redes muestran la operación ganadora, ampliada, con la captura de pantalla en el momento exacto en que se ve mejor. Casi nadie muestra la semana completa, con las operaciones que salieron mal incluidas, porque no vende tan bien.
Esta semana [fecha], operé [número] veces. [Número] salieron a favor, [número] en contra. El resultado neto de la semana fue [resultado], después de las pérdidas, no antes.
Ninguna de las operaciones perdedoras rompió el plan. Cada una tenía su Stop Loss definido antes de entrar, y cada Stop Loss se ejecutó exactamente donde tenía que ejecutarse. Perder no fue el error. El error hubiera sido no tener dónde perder definido de antemano.
Si tu criterio para confiar en un método es que nunca pierda, ya perdiste la idea central de esto. El objetivo nunca fue no perder. Fue perder poco, seguido, y de forma controlada, mientras las ganadoras compensan de sobra.</t>
  </si>
  <si>
    <t>Candidato a video casero (Audit pág. 11) — horario mañana ya validado; CNMV-seguro, pendiente datos reales</t>
  </si>
  <si>
    <t>**VERSIÓN REESCRITA (Hermes):**
[APLAZADO — pendiente datos reales de una semana operando]</t>
  </si>
  <si>
    <t>Por qué "diversifica todo" es el consejo más caro que existe</t>
  </si>
  <si>
    <t>Esto es educación, no asesoría financiera personalizada. La diversificación en sí misma no es mala idea: lo que cuestiono aquí es el consejo genérico de 'diversifícalo todo', no una recomendación de qué hacer con tu dinero.
'Diversifica todo' es el consejo financiero que más gente repite y menos gente entiende de verdad. La versión original, la que enseñan en un curso serio de finanzas, es sobre reducir riesgo no sistemático combinando activos que no se mueven todos igual al mismo tiempo. La versión que circula en la calle es distinta: mete plata en veinte cosas distintas y ya estás protegido.
El problema de la versión de la calle es que diversificar sin entender ninguno de los veinte activos no es gestión de riesgo, es ignorancia repartida en veinte partes iguales. Warren Buffett lo dijo mejor que yo hace años: la diversificación es protección contra la ignorancia, tiene poco sentido si sabes lo que estás haciendo.
En trading veo esto constantemente. Gente con una cuenta pequeña, abierta en ocho instrumentos distintos que no entiende ninguno a fondo, en vez de una cuenta enfocada en dos o tres que sí domina de verdad. El resultado no es menos riesgo, es el mismo riesgo, repartido de forma que se siente más seguro sin serlo.
El consejo caro no es diversificar. Es diversificar como sustituto de aprender de verdad lo poco que sí decidiste tocar.</t>
  </si>
  <si>
    <t>**VERSIÓN REESCRITA (Hermes):**
Título: 'DIVERSIFICA TODO' ES EL CONSEJO QUE MÁS GENTE REPITE Y MENOS ENTIENDE
Warren Buffett dijo una vez que la diversificación es protección contra la ignorancia, y tiene razón —pero solo si entendés qué tipo de ignorancia.
La versión original de la diversificación, la que enseñan en un curso serio de finanzas, consiste en combinar activos que no se mueven todos igual al mismo tiempo. Eso reduce el riesgo no sistemático. Pero la versión popular, la que repiten influencers y asesores genéricos, es simplemente 'repartí todo en muchas cosas' sin explicar que repartir en activos que se mueven igual (todo correlacionado al mismo ciclo) no es diversificación: es ilusión de seguridad.
La diferencia es sutil pero costosa. Preguntale a alguien que tenía 'todo diversificado' en 2008, o en 2020, o en 2022. Cuando el mercado completo cae, todo lo que está correlacionado cae junto. Ahí no hay diversificación que valga.
[nota mental: la diversificación real no es de activos, es de estrategias. Una pata que gana cuando todo sube. Otra que gana cuando todo baja. Otra que gana cuando nada se mueve. Eso es antifrágil. Lo otro es ruido.]</t>
  </si>
  <si>
    <t>Resumen</t>
  </si>
  <si>
    <t>Posts escritos:</t>
  </si>
  <si>
    <t>Pautas por escribir:</t>
  </si>
  <si>
    <t>Total filas de contenido:</t>
  </si>
  <si>
    <t>Validación — target, geografía y tono vs. horario elegido</t>
  </si>
  <si>
    <t>Geografía (México + Ecuador + España)</t>
  </si>
  <si>
    <t>Compatible con ajuste menor. Franjas 7:45 AM / 12:30 PM / 5:30 PM son hora Bogotá. México va 1h detrás (6:45/11:30/4:30 su hora) — sigue en horario laboral. Ecuador comparte huso horario con Bogotá (UTC-5, sin ajuste). España va 7h adelante (2:45 PM/7:30 PM/12:30 AM su hora) — la franja de 5:30 PM Bogotá cae ya de madrugada en España; para audiencia española, el 12:30 PM Bogotá (7:30 PM España) es la franja que mejor cae, no la de 7:45 AM ni la de 5:30 PM.</t>
  </si>
  <si>
    <t>Target (empleados buscando 2do ingreso)</t>
  </si>
  <si>
    <t>Compatible. Franjas elegidas son entre semana, horario laboral/después del trabajo en Bogotá y Ecuador. Para España, usar el mismo criterio pero anclado a su huso horario (ver fila de arriba) cuando un post esté explícitamente dirigido allá.</t>
  </si>
  <si>
    <t>Tono / densidad de contenido</t>
  </si>
  <si>
    <t>BRAIN (ensayos densos) se beneficia de franjas de lectura relajada (mediodía/tarde) más que de scroll rápido de la mañana. No encontramos evidencia de que este tono deba cambiar para España — storytelling sigue siendo lo que mejor funciona ahí también (Audit, página 13) — pero es validación general de mercado, no específica de trading: trátalo como prueba real.</t>
  </si>
  <si>
    <t>Caveat metodológico — semana 1</t>
  </si>
  <si>
    <t>El test de 3 horarios usa 3 registros distintos (RED QUEEN, LA CORDADA, BRAIN), no el mismo tipo de post repetido. El resultado dice qué combo de día+hora+registro funcionó mejor — no aísla el horario solo. Válido como primera señal, no concluyente (muestra chica, además).</t>
  </si>
  <si>
    <t>Resuelto — registro "IDENTIDAD" -&gt; "CRUCE"</t>
  </si>
  <si>
    <t>Reclasificado a CRUCE, la categoría que ya existe en el menú de formatos del Audit (página 14: "Observación familiar breve | Cruce | Vulnerabilidad sin oversharing") en vez de inventar un cuarto registro fuera de la arquitectura BRAIN/RED QUEEN/LA CORDADA. Aplicado a los posts 14, 20 y 23.</t>
  </si>
  <si>
    <t xml:space="preserve">  TGI — El Cierre del Gap</t>
  </si>
  <si>
    <t xml:space="preserve">  Documento vivo de iteración — un solo archivo por cliente, todas las pestañas del caso. Se edita en línea, siempre.</t>
  </si>
  <si>
    <t xml:space="preserve">  Cliente: Juan Castro — LinkedIn Audit Estratégico. Archivo único: intake, diagnóstico y seguimiento semanal viven aquí, nunca en un archivo aparte.</t>
  </si>
  <si>
    <t xml:space="preserve">  CÓMO USAR ESTE ARCHIVO — 10 PESTAÑAS, EN DOS FASES</t>
  </si>
  <si>
    <t>LI Estratégico</t>
  </si>
  <si>
    <t>Formulario de intake ya diligenciado por Juan (LinkedIn Audit Estratégico) — respuestas reales, no plantilla en blanco.</t>
  </si>
  <si>
    <t>Últimos 10 Posts</t>
  </si>
  <si>
    <t>Baseline real de los 9 posts previos a esta estrategia — fuente única del histórico, también referenciada en ANALYTICS 24H.</t>
  </si>
  <si>
    <t>GUÍA OPERATIVA</t>
  </si>
  <si>
    <t>Referencia fija: cadencia mes a mes, checklist de arranque, cuentas ancla, guion de DM. No se edita.</t>
  </si>
  <si>
    <t>PARRILLA</t>
  </si>
  <si>
    <t>Calendario de contenido — la edita Juan cada vez que publica (estado, mercado, formato, hashtags, link).</t>
  </si>
  <si>
    <t>ANALYTICS 24H</t>
  </si>
  <si>
    <t>Cargar cada post 24 horas después de publicarlo — 5 minutos, no se salta.</t>
  </si>
  <si>
    <t>PERFIL SEMANAL</t>
  </si>
  <si>
    <t>Cada sábado (día de corte): métricas de perfil + captura de pantalla de LinkedIn.</t>
  </si>
  <si>
    <t>ITERACIÓN DE CONTENIDO</t>
  </si>
  <si>
    <t>Un registro por cada ajuste que se prueba — un solo cambio a la vez (regla de oro).</t>
  </si>
  <si>
    <t>BITÁCORA DE IDEAS</t>
  </si>
  <si>
    <t>Ideas sueltas en cualquier momento — no esperar al corte semanal para anotarlas.</t>
  </si>
  <si>
    <t>LEARNINGS</t>
  </si>
  <si>
    <t>Hallazgos sueltos sobre voz y contenido, registrados semana a semana — antecede a la Bitácora formal (esa se arma al cierre de la primera semana entera al aire).</t>
  </si>
  <si>
    <t xml:space="preserve">  ¿Y EL TEXTO DE LOS POSTS?</t>
  </si>
  <si>
    <t>Dónde vive</t>
  </si>
  <si>
    <t>El texto original, la revisión de Laura y la justificación de cada post viven en la pestaña PARRILLA, dentro de este mismo archivo — ya no en un archivo aparte.</t>
  </si>
  <si>
    <t>Cómo se cruza</t>
  </si>
  <si>
    <t>Usa el mismo nombre de post en la columna "Post / Tema" (ANALYTICS 24H) que en PARRILLA, para relacionar el texto publicado con su resultado sin copiarlo dos veces.</t>
  </si>
  <si>
    <t xml:space="preserve">  CONVENCIÓN DE COLOR — ANALYTICS, PERFIL, ITERACIÓN, BITÁCORA, CIERRE</t>
  </si>
  <si>
    <t>Celda amarilla</t>
  </si>
  <si>
    <t>Campo a llenar — por el cliente o por TGI.</t>
  </si>
  <si>
    <t>Celda blanca</t>
  </si>
  <si>
    <t>Fórmula o campo calculado — no editar a mano.</t>
  </si>
  <si>
    <t xml:space="preserve">  CONVENCIÓN DE COLOR — GUÍA OPERATIVA Y PARRILLA</t>
  </si>
  <si>
    <t>Texto azul</t>
  </si>
  <si>
    <t>Celda para llenar — con datos reales (Juan o TGI, según la pestaña).</t>
  </si>
  <si>
    <t>Gris sobre amarillo claro</t>
  </si>
  <si>
    <t>Fila de EJEMPLO — bórrala o reemplázala al cargar datos reales, no es dato real.</t>
  </si>
  <si>
    <t>Texto normal sobre teal claro</t>
  </si>
  <si>
    <t>Dato real ya cargado por TGI (ej. línea base del intake) — no es ejemplo, no lo borres.</t>
  </si>
  <si>
    <t>Texto coral</t>
  </si>
  <si>
    <t>Dato incompleto o pendiente de confirmar — necesita input de Juan o acceso a LinkedIn Analytics.</t>
  </si>
  <si>
    <t xml:space="preserve">  QUIÉN EDITA QUÉ, CADA CUÁNTO</t>
  </si>
  <si>
    <t>Juan — cada vez que publica un post (calendario, estado, link).</t>
  </si>
  <si>
    <t>Nadie — referencia fija, no se edita.</t>
  </si>
  <si>
    <t>Juan carga la métrica del post 24h después; TGI interpreta en el corte semanal.</t>
  </si>
  <si>
    <t>Juan carga captura + métricas de perfil cada sábado.</t>
  </si>
  <si>
    <t>TGI registra cada prueba, un cambio a la vez.</t>
  </si>
  <si>
    <t>Laura / TGI, en cualquier momento — no espera al corte semanal.</t>
  </si>
  <si>
    <t xml:space="preserve">  DISCIPLINA DE ARCHIVO ÚNICO</t>
  </si>
  <si>
    <t>Una sola versión</t>
  </si>
  <si>
    <t>Todo el caso de Juan vive en este único archivo — nunca se sube una v2, v3 aparte. Si algo cambia, se corrige aquí mismo, en línea. El archivo de Parrilla separado queda retirado desde jul-2026.</t>
  </si>
  <si>
    <t xml:space="preserve">  CONVENCIÓN DE NOMBRE DE ARCHIVO (regla desde jul 2026)</t>
  </si>
  <si>
    <t xml:space="preserve">  Un solo archivo por cliente, nombrado "[Nombre].xlsx" (ej. Juan.xlsx, Pablo.xlsx, Diana.xlsx) — nunca "Cierre_del_Gap_[Nombre]_v#.xlsx", nunca "[Nombre]Form.xlsx" ni "[Nombre]_Parrilla_v#.xlsx" por separado. Este archivo reemplaza a Cierre_del_Gap_Juan_v7.xlsx y JuanForm.xlsx, que quedan retirados.</t>
  </si>
  <si>
    <t>TRANSLATION GAP INTELLIGENCE · EXECUTIVE POSITIONING</t>
  </si>
  <si>
    <t>Formulario de Intake — LinkedIn Audit Estratégico · Para: Juan · Entrega: 12 días hábiles desde formulario completo</t>
  </si>
  <si>
    <t>Llena solo la columna "Tu respuesta" (fondo amarillo claro). La columna "Ejemplo" te muestra el tipo y profundidad de respuesta esperada — no la copies, úsala de guía. Puedes dejar en blanco lo que no aplique y volver después.</t>
  </si>
  <si>
    <t>Bloque</t>
  </si>
  <si>
    <t>N°</t>
  </si>
  <si>
    <t>Pregunta</t>
  </si>
  <si>
    <t>Tipo de campo</t>
  </si>
  <si>
    <t>Ejemplo de referencia (no copiar)</t>
  </si>
  <si>
    <t>Tu respuesta</t>
  </si>
  <si>
    <t>A — Triage</t>
  </si>
  <si>
    <t>1</t>
  </si>
  <si>
    <t>¿Cuál de estas frases te describe mejor hoy? (a) entrevista/evento/deadline cerca (b) perfil bien, quiero consistencia (c) transición o lanzamiento propio</t>
  </si>
  <si>
    <t>Opción única</t>
  </si>
  <si>
    <t>(c) Estoy en transición de carrera o lanzando algo propio — necesito objetivo, no solo perfil.</t>
  </si>
  <si>
    <t>c</t>
  </si>
  <si>
    <t>B — Datos básicos</t>
  </si>
  <si>
    <t>2</t>
  </si>
  <si>
    <t>Nombre completo</t>
  </si>
  <si>
    <t>Texto corto</t>
  </si>
  <si>
    <t>Juan [Apellido]</t>
  </si>
  <si>
    <t>Juan Castro</t>
  </si>
  <si>
    <t>3</t>
  </si>
  <si>
    <t>Cargo actual o el que quieres proyectar</t>
  </si>
  <si>
    <t>Trader independiente y mentor de trading para quienes buscan un segundo ingreso</t>
  </si>
  <si>
    <t>4</t>
  </si>
  <si>
    <t>Empresa u organización</t>
  </si>
  <si>
    <t>Independiente / [nombre de marca personal o proyecto, si tiene uno]</t>
  </si>
  <si>
    <t>The Red Queen</t>
  </si>
  <si>
    <t>5</t>
  </si>
  <si>
    <t>URL de tu perfil de LinkedIn</t>
  </si>
  <si>
    <t>linkedin.com/in/juan-...</t>
  </si>
  <si>
    <t>https://www.linkedin.com/in/juangcastro1/</t>
  </si>
  <si>
    <t>6</t>
  </si>
  <si>
    <t>Industria principal</t>
  </si>
  <si>
    <t>Selección</t>
  </si>
  <si>
    <t>Servicios financieros / Educación financiera</t>
  </si>
  <si>
    <t>Tecnología y Finanzas</t>
  </si>
  <si>
    <t>C — Perfil actual</t>
  </si>
  <si>
    <t>7</t>
  </si>
  <si>
    <t>Tu headline actual</t>
  </si>
  <si>
    <t>Texto largo</t>
  </si>
  <si>
    <t>Empleado en [empresa] | Apasionado por los mercados financieros</t>
  </si>
  <si>
    <t>Funded Trader | +20 años en Tecnología | Estrategia y Desarrollo de Negocios | MBA</t>
  </si>
  <si>
    <t>8</t>
  </si>
  <si>
    <t>Tu sección "Acerca de" (About) — texto completo</t>
  </si>
  <si>
    <t>[Pega aquí tu About actual tal cual está hoy, sin editarlo]</t>
  </si>
  <si>
    <t>Líder con más de 20 años de experiencia en ventas B2B, modelos de negocio, estrategia, desarrollo de mercados, análisis de viabilidad financiera, frameworks creativos y gestión de proyectos. 
Ingeniero Industrial, con maestría en Administración de Empresas y formación académica en Liderazgo Ejecutivo y Desarrollo de Equipos de Alto Rendimiento. Con fuerte orientación al análisis estructurado y el pensamiento creativo para la resolución de problemas. Interesado en roles gerenciales en estrategia e innovación, crecimiento o ventas.</t>
  </si>
  <si>
    <t>9</t>
  </si>
  <si>
    <t>Sección Featured / Destacados</t>
  </si>
  <si>
    <t>[Lista lo que tienes fijado hoy en Featured, o escribe "vacío" si no tienes nada]</t>
  </si>
  <si>
    <t>No sé qué es esto</t>
  </si>
  <si>
    <t>D — Motivo, éxito y tono</t>
  </si>
  <si>
    <t>10</t>
  </si>
  <si>
    <t>¿Qué es lo puntual que tienes cerca (entrevista, evento, deadline) y para cuándo es?</t>
  </si>
  <si>
    <t>No hay un deadline puntual — es el lanzamiento de mi proyecto de mentoría en trading, ya en marcha.</t>
  </si>
  <si>
    <t>Presentación e inicio de The Red Queen. No tengo fecha aún.</t>
  </si>
  <si>
    <t>11</t>
  </si>
  <si>
    <t>En una frase: ¿cómo se vería el éxito para ti con este ajuste?</t>
  </si>
  <si>
    <t>Que la gente entienda en 10 segundos que ayudo a otros a generar un segundo ingreso a través del trading.</t>
  </si>
  <si>
    <t>Conversión de 1000 personas que se inscriban al whop de The Red Queen y que compren alguno de sus productos.</t>
  </si>
  <si>
    <t>12</t>
  </si>
  <si>
    <t>En una frase, ¿cómo te describirían tus colegas más cercanos?</t>
  </si>
  <si>
    <t>Directo, analítico, y el que siempre explica las cosas complicadas de forma simple.</t>
  </si>
  <si>
    <t>Numérico y analítico. Buena gente. Inteligente</t>
  </si>
  <si>
    <t>13</t>
  </si>
  <si>
    <t>¿Algo más que debamos saber antes de empezar?</t>
  </si>
  <si>
    <t>Ya publico contenido propio (no con IA), pero sin consistencia — quiero mantener esa autenticidad.</t>
  </si>
  <si>
    <t>No</t>
  </si>
  <si>
    <t>E — Archivos</t>
  </si>
  <si>
    <t>14</t>
  </si>
  <si>
    <t>Foto de perfil actual</t>
  </si>
  <si>
    <t>Archivo</t>
  </si>
  <si>
    <t>[Adjuntar imagen]</t>
  </si>
  <si>
    <t>adjunto</t>
  </si>
  <si>
    <t>15</t>
  </si>
  <si>
    <t>Banner / fondo de perfil</t>
  </si>
  <si>
    <t>[Adjuntar imagen, o "no tengo" si no aplica]</t>
  </si>
  <si>
    <t>Está por cambiar. Hoy tengo uno genérico que combina trading con la hélice de cadena ADN.</t>
  </si>
  <si>
    <t>F — Baseline momento 0 (métricas de perfil)</t>
  </si>
  <si>
    <t>Seguidores actuales</t>
  </si>
  <si>
    <t>Número</t>
  </si>
  <si>
    <t>480</t>
  </si>
  <si>
    <t>Conexiones de 1er grado</t>
  </si>
  <si>
    <t>650</t>
  </si>
  <si>
    <t>Visitas al perfil (últimos 90 días — LinkedIn Analytics &gt; Visitantes)</t>
  </si>
  <si>
    <t>210</t>
  </si>
  <si>
    <t>Impresiones totales de tus posts (últimos 90 días — LinkedIn Analytics &gt; Publicaciones)</t>
  </si>
  <si>
    <t>3,200</t>
  </si>
  <si>
    <t>Crecimiento de seguidores (últimos 90 días)</t>
  </si>
  <si>
    <t>Número o %</t>
  </si>
  <si>
    <t>+35 seguidores (7.9%)</t>
  </si>
  <si>
    <t>No sé cómo sacar este dato</t>
  </si>
  <si>
    <t>Países principales de tu audiencia — top 3 (LinkedIn Analytics &gt; Visitantes &gt; Ubicación)</t>
  </si>
  <si>
    <t>Colombia, México, Estados Unidos</t>
  </si>
  <si>
    <t>Bogota</t>
  </si>
  <si>
    <t>Seniority principal de tu audiencia — top 3 (LinkedIn Analytics &gt; Seguidores)</t>
  </si>
  <si>
    <t>Senior, Manager, Director</t>
  </si>
  <si>
    <t>Senior, Entry, Manager</t>
  </si>
  <si>
    <t>Industrias principales de tu audiencia — top 3 (LinkedIn Analytics &gt; Seguidores)</t>
  </si>
  <si>
    <t>Servicios financieros, Tecnología, Consultoría</t>
  </si>
  <si>
    <t>IT Services and IT Consulting, Telecomunications, Technology Information and internet</t>
  </si>
  <si>
    <t>Captura de LinkedIn Analytics (perfil + audiencia) — respalda los números de arriba, no los reemplaza</t>
  </si>
  <si>
    <t>Archivo, opcional</t>
  </si>
  <si>
    <t>[Adjuntar captura si la tienes — no es obligatoria si ya llenaste los campos numéricos]</t>
  </si>
  <si>
    <t>Detalle de tus últimos 10 posts — ver hoja "Últimos 10 Posts" de este mismo archivo</t>
  </si>
  <si>
    <t>Ver hoja aparte</t>
  </si>
  <si>
    <t>Completa la tabla en la segunda pestaña de este Excel, post por post, con fecha, tema, formato y métricas.</t>
  </si>
  <si>
    <t>G — Contenido actual</t>
  </si>
  <si>
    <t>¿Con qué frecuencia publicas?</t>
  </si>
  <si>
    <t>1-2 veces al mes, sin plan fijo</t>
  </si>
  <si>
    <t>1 vez por semana</t>
  </si>
  <si>
    <t>Idioma principal de tus posts</t>
  </si>
  <si>
    <t>Español</t>
  </si>
  <si>
    <t>¿Sobre qué temas publicas actualmente?</t>
  </si>
  <si>
    <t>Selección múltiple + otro</t>
  </si>
  <si>
    <t>Análisis de mercado, ideas de trading, reflexiones sobre el cambio de carrera</t>
  </si>
  <si>
    <t>Ideas que viven en mi cabeza y cruce de conceptos.</t>
  </si>
  <si>
    <t>¿Tienes un patrón de contenido o improvisas?</t>
  </si>
  <si>
    <t>Improviso — publico cuando tengo algo que decir, sin calendario</t>
  </si>
  <si>
    <t>Improviso, aunque hay un hilo conductor entre los posts.</t>
  </si>
  <si>
    <t>¿Tienes newsletter en LinkedIn? ¿Cuántos suscriptores tiene?</t>
  </si>
  <si>
    <t>No tengo todavía</t>
  </si>
  <si>
    <t>Tu post con más engagement — pega el texto o descríbelo</t>
  </si>
  <si>
    <t>Un post contando el día que dejé mi trabajo fijo para dedicarme al trading — generó muchos comentarios de gente preguntando cómo empezar.</t>
  </si>
  <si>
    <t xml:space="preserve">EL ESPACIO LIMINAL Y EL NUEVO OFICIO
Ayer hablaba de mi "muro de grafitis". Hoy toca el primero, uno totalmente ególatra: sobre mí.
Hace unos días cumplí 1 año desde que dejé de trabajar en Oracle. No por opción, sino por decisión... no mía por cierto. Luego de pasar por el valle dramático y emocional que es que lo despidan a uno, de haberle entregado todo a la empresa y tal (tono sarcástico y música dramática por favor!) 
[nota mental: posible futuro grafiti sobre layoffs]
Luego de llegar a la "playa del consuelo" con un “no solo fui yo, fuimos varios, y mi jefe, y el jefe de mi jefe, y después de unos meses ya casi nadie queda y tal”… pues vino el espacio mental. El espacio liminal.
Espacio liminal. Ese espacio donde se puede cambiar la vida. No tanto por fuera, sí definitivamente por dentro. El espacio liminal, para quienes no son familiares al término, proviene del latín limen, significa “umbral”.
Ese punto intermedio entre lo que fue y lo que vendrá. No tiene finalidad práctica en sí misma necesariamente, pero es mandatorio en la estructura del modelo. 
Aplicado en arquitectura, sería el pasillo, la sala de espera, el hall del ascensor.
Aplicado en psicología (y esto es mentira, porque ni soy psicólogo, ni he estudiado a fondo la psicología, pero es mi grafiti así que digamos que es 100% verás) sería el No-lugar, un estado de ambigüedad donde la persona ya no tiene su estatus anterior, pero aún no ha alcanzado el nuevo. 
Espacio necesario para el cambio. 
Y entonces en ese espacio liminal uno piensa un montón. Y después de escribir mentalmente infinidad de grafitis, y de cambiar mi vida (no tanto por fuera, pero definitivamente por dentro), cambié de oficio. 
Decidí no buscar trabajo, decidí que no iba a ser emprendedor, y decidí dedicarme al trading tiempo completo. 
Un camino intenso y largo en aprendizaje, errores, retroalimentación, autoconocimiento, y muchos grafitis mentales que iré escribiendo más adelante. 
Abrazos para todos.
</t>
  </si>
  <si>
    <t>Tu post con menos resultado — el que más te sorprendió negativamente</t>
  </si>
  <si>
    <t>Un post técnico explicando un indicador de trading — cero interacción, muy en jerga de experto.</t>
  </si>
  <si>
    <t>COMIENZO DEL UNIVERSO. Parte 2 ::: A.K.A. el nacimiento de BRAIN.
En el post anterior hablábamos de Chronos, Kairos y el Flow State. Continuemos con la apuesta tecnológica para salvarnos y darnos más de ese no-tiempo, o tal vez no? La inteligencia artificial.
Y entonces llega AI, no es hijo de ningún dios, no sale de la cabeza de ninguna serpiente. Se la inventa el hombre desde hace décadas buscando la cibernética y la máquina de Turing por allá en los 50s. Y la extiende y aplica a los viejos autómatas celulares (ahora "agéntica" con tono estirado de: "mejor dicho"). Y claro, una proeza tecnócrata espectacular.
Y todos decimos saltando, ahora puedo hacer lo de 10 horas en 1 hora. Ahora sí que voy a poder vivir en Kairos, recuperar mi no-tiempo, recuperar 9 horas para tener pensamiento difuso, conversaciones valiosas, para jugar con mis hijos, para ir a cine al medio día, para almorzar con los amigos sin tener que volver a la máquina de Goldberg [note to self: post de Goldberg y las corporaciones modernas].
Pero nooooo… la ecuación no es así. La paradoja de Jevons nos enseña que el aumento en la eficiencia de un recurso no reduce su consumo, sino que lo aumenta. Al ser más barato y rápido producir un resultado, la demanda de esos resultados se dispara, y terminamos trabajando lo mismo, o más que antes.
Así las cosas, en búsqueda de maximizar el output y no de recuperar lo valioso del tiempo, que es lo único que no podemos recuperar [nota mental: post de memento mori], caeremos en la trampa, o más bien no saldremos de ella, seguiremos metidos en la ruedita de hamster ad infinitum, solo que ahora haremos girar la rueda a velocidad hipersónica… Kudos a la humanidad! Eso o nos despiden a todos por la economía agéntica. :P Belleza pura #2.
No aprenderemos de la revolución industrial y la automatización manufacturera, porque así somos los humanos.
Hace años nos prometieron que la tecnología nos daría semanas laborales de 15 horas. Hoy, con la IA más potente de la historia en nuestras manos, la sensación es de una aceleración frenética. Estamos confundiendo velocidad con progreso. Claro, el progreso irá llegando con descubrimientos, biomedicina, matemática de quarks, cura al cáncer (ojalá). 
Pero en lo mundano, si usas AI para hacer en 10 minutos lo que antes hacías en una hora, pero llenas los 50 minutos restantes con más tareas de "bajo valor", no ganaste tiempo. Solo aumentaste las revoluciones de tu rat-wheel. Sigues en el Chronos.
La eficiencia sin un límite consciente es una sentencia de burnout. El primer paso para dominar la IA no es aprender prompt engineering, es aprender a decir "ya es suficiente por hoy”. Súper popular este post en estos tiempos… jajaja
Reto God-Level: Usar AI para comprar soberanía sobre nuestro tiempo, ¿optimizar para hacer más, o para ser más libre? 
Llamemos esto: BRAIN - Breaking real AI nonsense. Podemos tener hashtags y todo.
Brindis por menos "tiempo" en la rueda… y más "tiempo" en el Flow.
hashtag#BrAIn</t>
  </si>
  <si>
    <t>H — Voz e identidad verbal</t>
  </si>
  <si>
    <t>¿Cómo describes tu voz actual en LinkedIn?</t>
  </si>
  <si>
    <t>Directa y didáctica, trato de bajar lo técnico a algo entendible para cualquiera.</t>
  </si>
  <si>
    <t>Complejo, largo y no para todo el mundo. Sin AI.</t>
  </si>
  <si>
    <t>Un post del que te sentiste orgulloso/a — pega el texto completo</t>
  </si>
  <si>
    <t>[Pegar el post sobre el quiebre de carrera mencionado arriba, completo]</t>
  </si>
  <si>
    <t>MEMENTO MORI ::: AKA Cambiarías de lugar con Warren Buffet?
Dinero, conocimiento y fama. Si la fama es banal y el conocimiento te gusta adquirirlo, queda el dinero.
Simplificando: Tendrías todo el dinero imaginable y solo un puñado de meses para vivirlo. Warren ya tiene 95 años. Estarías vendiendo tu tiempo por dinero, conocimiento y fama.
Entonces tal vez no venderías tu tiempo por dinero. O probablemente ya lo estás haciendo. Claro, puedes ser un emprendedor que está cambiando el mundo, o un empleado impactando las vidas que tocas, etc; pero y si no?
Ahora la pregunta al revés: Cambiaría Warren Buffet todo su dinero, fama y conocimiento por tener tu edad? Especulo que sí (si eres más joven que Warren).
Ahora reduzcamos la pregunta: Cuál opción escoges:
A- más dinero en tu día.
B- más tiempo en tu día.
C- la paradoja.
La paradoja sería, tener tiempo para hacer dinero, pero debo gastar el tiempo haciendo dinero, o, necesito dinero para liberar tiempo, pero para conseguir dinero debo usar el tiempo; y ahí seguimos en un loop infinito (rat-wheel?).
En estoicismo se conoce como Memento Mori, traduce del latín "recuerda que morirás".
Con esto tratamos de no olvidar que todos los momentos son contados. Que el tiempo presente es importante. Que la persecución de proyectos y metas, en vía del desarrollo personal y social es importante. Que al propósito hay que encararlo, que nada es regalado, y solo, y solo si, estás vendiendo tu tiempo por todo eso, entonces tiene sentido. Carpe Diem de los poetas…
Y entonces inevitablemente la pregunta derivada es: Cuánto tiempo me queda?
Eso redefine metas, reorienta decisiones, y maximiza la presencia e intención en lo que se hace.
Y es que no es solo matemática de tiempo (ir al post Comienzo del Universo Parte 1), es matemática de “atención”!
Se dice que un pez dorado (goldfish) clásico de pecera 80tera tiene un lapso de atención de 9 segundos… tremendo, cada 9 segundos se distrae o preocupa por algo nuevo. Cero funcional, no?
Pues bien, según estudio de Microsoft Canada la atención promedio de un adulto es de 8 segundos… en 2015. O sea, antes de tiktok, tenías un iPhone 6, y tu internet era de menos de 20 megas. Claro, es un promedio y no dan la desviación estándar, relatividad de la muestra, método de inferencia, etc.
El punto es, donde ponemos la atención es importante. Darle la atención a quien te habla es importante. Y es un regalo. A quién le regalas tu atención es importante, y tal vez no debería ser para todo el mundo o para cualquier cosa (ojalá este post sí).
Y el tiempo por dinero? Piensa en Warren. Piensa en Kairos.
Calcula tu vida en puntos poniendo tu fecha de nacimiento en: tinyurl.com/4tapvzek o, ponte a colorear.
hashtag#BrAIn</t>
  </si>
  <si>
    <t>Un post que no funcionó como esperabas — ¿qué creías que iba a pasar?</t>
  </si>
  <si>
    <t>Pensé que el post técnico sobre el indicador iba a posicionarme como experto — en cambio pasó sin pena ni gloria.</t>
  </si>
  <si>
    <t>La verdad no tengo espectativas de ningún post.</t>
  </si>
  <si>
    <t>Describe tu comunidad en tus propias palabras</t>
  </si>
  <si>
    <t>Todavía pequeña — colegas de mi trabajo anterior, algunos traders que sigo, y gente curiosa que empezó a comentar tras el post del quiebre.</t>
  </si>
  <si>
    <t>Un conjunto de ex-clientes, ex-colegas de trabajo, y recomendados automáticos de linkedin.</t>
  </si>
  <si>
    <t>H2 — Personalidad y tono</t>
  </si>
  <si>
    <t>16</t>
  </si>
  <si>
    <t>¿Cómo te gustaría que sonara tu voz en LinkedIn?</t>
  </si>
  <si>
    <t>Selección múltiple + texto</t>
  </si>
  <si>
    <t>Directo y sin rodeos, con algo de inspirador con historias — sin sonar como gurú de finanzas.</t>
  </si>
  <si>
    <t>Original y desafiante.</t>
  </si>
  <si>
    <t>17</t>
  </si>
  <si>
    <t>¿A quién admiras por su forma de comunicar?</t>
  </si>
  <si>
    <t>Traders o educadores financieros que explican con ejemplos simples, sin promesas exageradas de "hazte rico rápido".</t>
  </si>
  <si>
    <t>Guillermo Valencia de Macrowize.</t>
  </si>
  <si>
    <t>18</t>
  </si>
  <si>
    <t>¿Qué te detiene hoy de publicar más seguido en LinkedIn?</t>
  </si>
  <si>
    <t>Ver tanto post genérico hecho con IA o repost sin nada propio me da pereza sumarme a eso — prefiero no publicar antes que publicar sin sustancia.</t>
  </si>
  <si>
    <t>No quiero tener la ansiedad de tener que publicar y producir ideas tan seguido.</t>
  </si>
  <si>
    <t>19</t>
  </si>
  <si>
    <t>¿Hay algún tema, palabra o forma de hablar que no quieres que aparezca en tu contenido?</t>
  </si>
  <si>
    <t>Nada de lenguaje tipo "hazte rico rápido" ni promesas de rentabilidad garantizada — eso no es lo que ofrezco.</t>
  </si>
  <si>
    <t>El típico que usa la mayoría de personas generado con AI.</t>
  </si>
  <si>
    <t>I — Fuera del trabajo</t>
  </si>
  <si>
    <t>20</t>
  </si>
  <si>
    <t>¿Practicas algún deporte o actividad física?</t>
  </si>
  <si>
    <t>Ciclismo los fines de semana</t>
  </si>
  <si>
    <t>Escalada en roca, montañismo, Mountain Biking, Kettlebells..</t>
  </si>
  <si>
    <t>21</t>
  </si>
  <si>
    <t>¿Qué hobbies o pasiones tienes fuera del trabajo?</t>
  </si>
  <si>
    <t>Ajedrez — me ayuda a pensar en escenarios, parecido a como analizo el mercado</t>
  </si>
  <si>
    <t>Toco guitarra (aústica y electrica), tengo una banda de rock. Fotografía.</t>
  </si>
  <si>
    <t>22</t>
  </si>
  <si>
    <t>¿Los viajes son parte importante de tu vida?</t>
  </si>
  <si>
    <t>Sí/no + detalle</t>
  </si>
  <si>
    <t>Sí — el trading me permite trabajar desde donde sea, y lo aprovecho para viajar más que antes</t>
  </si>
  <si>
    <t>Sí.</t>
  </si>
  <si>
    <t>J — Objetivos</t>
  </si>
  <si>
    <t>23</t>
  </si>
  <si>
    <t>¿Qué quieres lograr con tu presencia en LinkedIn?</t>
  </si>
  <si>
    <t>Selección múltiple</t>
  </si>
  <si>
    <t>Clientes nuevos para la mentoría, comunidad de gente interesada en trading, reclutar futuros alumnos</t>
  </si>
  <si>
    <t>Que sirva de cartel para que mis seguidores compren productos en mi whop.</t>
  </si>
  <si>
    <t>24</t>
  </si>
  <si>
    <t>Ordena tus objetivos por prioridad</t>
  </si>
  <si>
    <t>Ranking</t>
  </si>
  <si>
    <t>1) Clientes/alumnos nuevos 2) Comunidad 3) Alianzas 4) Employer branding</t>
  </si>
  <si>
    <t>1) Clientes. 2) Comunidad</t>
  </si>
  <si>
    <t>25</t>
  </si>
  <si>
    <t>¿En qué plazo quieres ver resultados?</t>
  </si>
  <si>
    <t>3 a 6 meses</t>
  </si>
  <si>
    <t>6 meses</t>
  </si>
  <si>
    <t>26</t>
  </si>
  <si>
    <t>¿Cuál es el problema principal con tu presencia en LinkedIn hoy?</t>
  </si>
  <si>
    <t>Publico sin consistencia y mi perfil todavía dice "empleado en [empresa]" en vez de reflejar lo que realmente hago hoy.</t>
  </si>
  <si>
    <t>No lo sé.</t>
  </si>
  <si>
    <t>K — Archivos adicionales</t>
  </si>
  <si>
    <t>27</t>
  </si>
  <si>
    <t>¿Algo más que quieras adjuntar?</t>
  </si>
  <si>
    <t>Archivo(s), opcional</t>
  </si>
  <si>
    <t>[Capturas de mensajes de gente interesada, si tienes]</t>
  </si>
  <si>
    <t>L — Triage de pivote</t>
  </si>
  <si>
    <t>¿Qué tipo de cambio buscas?</t>
  </si>
  <si>
    <t>Independiente o emprendimiento propio + alianzas/clientes/comunidad</t>
  </si>
  <si>
    <t>Emprendimiento propio.</t>
  </si>
  <si>
    <t>M — Situación laboral y confidencialidad</t>
  </si>
  <si>
    <t>¿Cuál es tu situación laboral hoy?</t>
  </si>
  <si>
    <t>Selección única</t>
  </si>
  <si>
    <t>Ya independiente o en transición formal — todos saben que estoy lanzando esto</t>
  </si>
  <si>
    <t>Independiente</t>
  </si>
  <si>
    <t>¿Hay marcas, clientes o proyectos que NO puedas nombrar? Lista los que SÍ puedes nombrar.</t>
  </si>
  <si>
    <t>No tengo restricciones de confidencialidad — puedo nombrar mi trayectoria libremente.</t>
  </si>
  <si>
    <t>No tengo restricciones de ningún tipo.</t>
  </si>
  <si>
    <t>Si sigues empleado, ¿hay algo que no deba aparecer para no generar conflicto?</t>
  </si>
  <si>
    <t>No aplica — mi transición ya es pública.</t>
  </si>
  <si>
    <t>No aplica</t>
  </si>
  <si>
    <t>N — Validación de mercado</t>
  </si>
  <si>
    <t>¿Qué ofreces o quieres ofrecer exactamente?</t>
  </si>
  <si>
    <t>Mentoría para aprender a hacer trading y construir un segundo ingreso, con un método claro y sin promesas irreales.</t>
  </si>
  <si>
    <t>Cursos, PDFs, y mentorías al rededor de Trading.</t>
  </si>
  <si>
    <t>¿A quién se lo venderías? ¿Quién es el comprador ideal?</t>
  </si>
  <si>
    <t>Profesionales empleados que quieren un ingreso adicional, con algo de capital para empezar y disposición a aprender con disciplina.</t>
  </si>
  <si>
    <t xml:space="preserve">Cualquier empleado que busque una segunda fuente de ingreso. Cualquier empleado que no quiera depender de su trabajo para subsistir financieramente. </t>
  </si>
  <si>
    <t>¿Cuánto cobras hoy o planeas cobrar?</t>
  </si>
  <si>
    <t>Aún sin definir del todo — pensando en un rango de $150-400 por el programa inicial</t>
  </si>
  <si>
    <t>Depende del producto. Actualmente están en desarrollo y aún no tengo precios para cada uno.</t>
  </si>
  <si>
    <t>¿Alguien ya te ha pagado por esto o mostrado interés real?</t>
  </si>
  <si>
    <t>Varios excompañeros me han preguntado informalmente cómo empezar, pero nadie ha pagado todavía.</t>
  </si>
  <si>
    <t>Tengo amigos con interés real. Aún no cobro por el contenido ni las mentorías.</t>
  </si>
  <si>
    <t>¿Hay alguien haciendo algo parecido? ¿Qué harías distinto?</t>
  </si>
  <si>
    <t>Hay muchos "gurús" de trading con promesas exageradas — yo haría énfasis en gestión de riesgo realista, no en rentabilidad garantizada.</t>
  </si>
  <si>
    <t>Hay mucha gente haciendo algo parecido, pero no en linkedin. Sólo en youtube, Telegram, Whatsapp, Tiktok.</t>
  </si>
  <si>
    <t>N — Validación de mercado (bonus)</t>
  </si>
  <si>
    <t>NUEVO — ¿Conoces 2-3 perfiles de LinkedIn en tu industria que admires o quieras usar de referencia?</t>
  </si>
  <si>
    <t>Texto largo, opcional</t>
  </si>
  <si>
    <t>[Pega 2-3 URLs de perfiles de traders/educadores financieros que te gusten como referencia]</t>
  </si>
  <si>
    <t>O — Mercados objetivo</t>
  </si>
  <si>
    <t>Ordena estos mercados de 1 a 4 según prioridad para los próximos 90 días</t>
  </si>
  <si>
    <t>1) Colombia 2) México 3) LatAm en general 4) Hispanos en EEUU</t>
  </si>
  <si>
    <t>No tengo preferencias.</t>
  </si>
  <si>
    <t>¿En qué idioma quieres tu perfil principal?</t>
  </si>
  <si>
    <t>Confirmación: ¿confirmas que esta es tu decisión final de mercado/idioma por ahora?</t>
  </si>
  <si>
    <t>Sí / necesito discutirlo</t>
  </si>
  <si>
    <t>Sí</t>
  </si>
  <si>
    <t>Cifra de ingreso objetivo a 90 días y a 12 meses</t>
  </si>
  <si>
    <t>90 días: primeros 5 alumnos pagando. 12 meses: segundo ingreso estable de forma mensual.</t>
  </si>
  <si>
    <t>Aún no tengo estos cálculos.</t>
  </si>
  <si>
    <t>P — Narrativa profunda</t>
  </si>
  <si>
    <t>El quiebre: ¿cuál fue el día o proyecto específico donde pensaste "esto va en serio para mí"?</t>
  </si>
  <si>
    <t>El día que cerré mi primera operación con disciplina, siguiendo mi plan al pie de la letra, y entendí que esto no era suerte.</t>
  </si>
  <si>
    <t>Hace un par de meses.</t>
  </si>
  <si>
    <t>Tu oficio: ¿cuál paso del proceso es el que más se te va el tiempo o donde más se nota tu criterio?</t>
  </si>
  <si>
    <t>El análisis previo a cada operación — ahí es donde más tiempo invierto y donde siento que mi criterio realmente marca la diferencia.</t>
  </si>
  <si>
    <t>No sé si la pregunta aplica para mí.</t>
  </si>
  <si>
    <t>La decisión: ¿fue largamente pensada o pasó algo puntual que la aceleró?</t>
  </si>
  <si>
    <t>Fue una decisión pensada por más de un año, acelerada por sentir que mi trabajo ya no me representaba.</t>
  </si>
  <si>
    <t>Decisión pensada. Esta sería la etapa 4 de mi plan.</t>
  </si>
  <si>
    <t>El tiempo propio: ¿cómo le sacas el tiempo? ¿Se siente distinto a tu trabajo del día a día?</t>
  </si>
  <si>
    <t>Me levanto antes para analizar mercado antes de mi jornada — se siente como la parte del día que más espero, no como una obligación.</t>
  </si>
  <si>
    <t>Trading es mi trabajo del día. Me encanta.</t>
  </si>
  <si>
    <t>La influencia: ¿alguien cercano te marcó para animarte a hacer esto?</t>
  </si>
  <si>
    <t>Mi esposa fue quien más me impulsó a tomarlo en serio cuando vio que ya lo hacía bien por mi cuenta.</t>
  </si>
  <si>
    <t>Tengo algunos mentores de quién aprendo constantemente a hacer lo que hago y cómo hacerlo mejor y con mejores resultados.</t>
  </si>
  <si>
    <t>La válvula de escape: ¿tienes alguna actividad personal que te sirve para descomprimir?</t>
  </si>
  <si>
    <t>El ajedrez — pensar varios movimientos adelante se parece mucho a cómo analizo una operación de trading.</t>
  </si>
  <si>
    <t>Sí. Mi banda de rock. Meditación y ejercicio.</t>
  </si>
  <si>
    <t>Sin filtro: ¿qué es lo más difícil de este momento que casi nadie ve desde afuera?</t>
  </si>
  <si>
    <t>El miedo a que la gente piense que es un cambio irresponsable, cuando en realidad lo he preparado con mucha disciplina.</t>
  </si>
  <si>
    <t>Gastar energía y tiempo en crear contenidos que después nadie esté interesada en comprar.</t>
  </si>
  <si>
    <t>El otro lado: ¿qué pasaría si esto SÍ funciona? ¿Hay algo de ese escenario que también te genere duda?</t>
  </si>
  <si>
    <t>Si funciona, tendría que sostener y escalar la mentoría — me genera algo de presión pensar en responder por los resultados de otros.</t>
  </si>
  <si>
    <t>Q — Networking y comentarios</t>
  </si>
  <si>
    <t>¿A qué tipo de personas quieres acercarte?</t>
  </si>
  <si>
    <t>Profesionales empleados buscando un segundo ingreso, y otros traders para intercambiar ideas.</t>
  </si>
  <si>
    <t>No tengo restricciones.</t>
  </si>
  <si>
    <t>¿Tienes ejemplos de mensajes de acercamiento que ya te han funcionado?</t>
  </si>
  <si>
    <t>[Pega 1-2 mensajes que ya hayas enviado y que hayan generado buena respuesta]</t>
  </si>
  <si>
    <t>Aún no he promocionado nada.</t>
  </si>
  <si>
    <t>¿Prefieres un tono más formal o más cercano/casual en tus mensajes de networking?</t>
  </si>
  <si>
    <t>Cercano y casual, pero respetuoso</t>
  </si>
  <si>
    <t>Casual.</t>
  </si>
  <si>
    <t>R — Riesgo, límites y capacidad</t>
  </si>
  <si>
    <t>Escala 1-5: ¿qué tan cómodo te sientes con opiniones fuertes o polémicas en tu contenido?</t>
  </si>
  <si>
    <t>Escala 1-5</t>
  </si>
  <si>
    <t>4 — no busco polémica, pero sí soy directo criticando las promesas exageradas de otros "gurús"</t>
  </si>
  <si>
    <t>5 - muy cómodo</t>
  </si>
  <si>
    <t>¿Hay temas personales, políticos o de otro tipo que no quieras que tu contenido toque nunca?</t>
  </si>
  <si>
    <t>Nada de política. Tampoco quiero mezclar temas familiares.</t>
  </si>
  <si>
    <t>Sin restricciones</t>
  </si>
  <si>
    <t>28</t>
  </si>
  <si>
    <t>¿Cuánto tiempo a la semana puedes dedicar a publicar y responder comentarios?</t>
  </si>
  <si>
    <t>3 a 5 horas por semana</t>
  </si>
  <si>
    <t>1 hora al día.</t>
  </si>
  <si>
    <t>S — Add-on foto con IA</t>
  </si>
  <si>
    <t>29</t>
  </si>
  <si>
    <t>¿Quieres agregar el add-on de foto con IA? ¿Preferencia de estilo o fondo?</t>
  </si>
  <si>
    <t>Sí/no + texto corto</t>
  </si>
  <si>
    <t>Sí — estilo profesional pero cercano, fondo neutro</t>
  </si>
  <si>
    <t>Sí, si es necesario.</t>
  </si>
  <si>
    <t>Leyenda: columna amarilla = tu respuesta. Columna "Ejemplo" = referencia de profundidad, no copiar tal cual. Puedes escribir directamente en cada celda o pegar texto largo (la celda se expande).</t>
  </si>
  <si>
    <t>Detalle de tus últimos 10 posts — Bloque F, complemento del formulario principal</t>
  </si>
  <si>
    <t>Completa una fila por cada uno de tus últimos 10 posts publicados, del más reciente al más antiguo. Las métricas (impresiones, reacciones, comentarios, compartidos) las encuentras abriendo cada post y tocando el ícono de estadísticas debajo de él. La fila de EJEMPLO te muestra el nivel de detalle esperado — no la copies, bórrala o ignórala al llenar tus datos.</t>
  </si>
  <si>
    <t>Fecha (aprox.)</t>
  </si>
  <si>
    <t>Tema / tipo de contenido</t>
  </si>
  <si>
    <t>Texto o resumen del post</t>
  </si>
  <si>
    <t>Impresiones</t>
  </si>
  <si>
    <t>Reacciones</t>
  </si>
  <si>
    <t>Comentarios</t>
  </si>
  <si>
    <t>Compartidos</t>
  </si>
  <si>
    <t>EJEMPLO</t>
  </si>
  <si>
    <t>2026-05-14</t>
  </si>
  <si>
    <t>Historia personal / quiebre de carrera</t>
  </si>
  <si>
    <t>El día que dejé mi trabajo fijo para dedicarme al trading — contando el momento exacto en que decidí que ya no había vuelta atrás.</t>
  </si>
  <si>
    <t>Texto</t>
  </si>
  <si>
    <t>3,100</t>
  </si>
  <si>
    <t>142</t>
  </si>
  <si>
    <t>38</t>
  </si>
  <si>
    <t>Historia personal</t>
  </si>
  <si>
    <t>EL ESPACIO LIMINAL Y EL NUEVO OFICIO
Ayer hablaba de mi "muro de grafitis". Hoy toca el primero, uno totalmente ególatra: sobre mí.
Hace unos días cumplí 1 año desde que dejé de trabajar en Oracle. No por opción, sino por decisión... no mía por cierto. Luego de pasar por el valle dramático y emocional que es que lo despidan a uno, de haberle entregado todo a la empresa y tal (tono sarcástico y música dramática por favor!) 
[nota mental: posible futuro grafiti sobre layoffs]
Luego de llegar a la "playa del consuelo" con un “no solo fui yo, fuimos varios, y mi jefe, y el jefe de mi jefe, y después de unos meses ya casi nadie queda y tal”… pues vino el espacio mental. El espacio liminal.
Espacio liminal. Ese espacio donde se puede cambiar la vida. No tanto por fuera, sí definitivamente por dentro. El espacio liminal, para quienes no son familiares al término, proviene del latín limen, significa “umbral”.
Ese punto intermedio entre lo que fue y lo que vendrá. No tiene finalidad práctica en sí misma necesariamente, pero es mandatorio en la estructura del modelo. 
Aplicado en arquitectura, sería el pasillo, la sala de espera, el hall del ascensor.
Aplicado en psicología (y esto es mentira, porque ni soy psicólogo, ni he estudiado a fondo la psicología, pero es mi grafiti así que digamos que es 100% verás) sería el No-lugar, un estado de ambigüedad donde la persona ya no tiene su estatus anterior, pero aún no ha alcanzado el nuevo. 
Espacio necesario para el cambio. 
Y entonces en ese espacio liminal uno piensa un montón. Y después de escribir mentalmente infinidad de grafitis, y de cambiar mi vida (no tanto por fuera, pero definitivamente por dentro), cambié de oficio. 
Decidí no buscar trabajo, decidí que no iba a ser emprendedor, y decidí dedicarme al trading tiempo completo. 
Un camino intenso y largo en aprendizaje, errores, retroalimentación, autoconocimiento, y muchos grafitis mentales que iré escribiendo más adelante. 
Abrazos para todos.}</t>
  </si>
  <si>
    <t>COMIENZO DEL UNIVERSO. Parte 1
Al comienzo nada existe, y de repente, Chronos. De la nada, sin más. El universo esclavo en la arquitectura cósmica del tiempo (hasta que llegó Einstein). 
No nació de nadie, antes de todos los dioses, junto a Ananke: La necesidad (amigo del cual hablamos luego)
Chronos divide el caos en pasado, presente y futuro; días, meses y años. El tiempo cuantitativo. Secuencial y lineal. Marca la secuencia de la vida, el maratón que todos corremos. Importante y aburrido, necesario y poco deseado.
Back-to-back de reuniones, de mail en mail mientras "hablo" en el almuerzo, o peor aún: instagram spree? o el combo: en la reunión mientras “aporto" contestando un mail con la mente en el reel de insta que me mandaron por WhatsApp. Belleza pura.
Y es que si no estás ocupado, eres un fracaso (o un billonario jajaja). Dopaminaste tu cerebro hasta no dar más para ganarle al Chronos que te sigue, que hasta en las vacaciones que tomas para “descansar" estás tratando de meter 17 planes en 1 día para conocer más de la ciudad o montar en todas las atracciones posibles de ese parque (Boss Level: hacer eso con KPIs o con un tracker en Excel).
Y entonces sale el sobrino, y se llama Kairos y es espectacular. Es el tiempo preciso, es la magia/arte del no-tiempo. Se dice que la vida está llena de esos momentos clave, los Kairos, que definen el destino. Carpe Diem en los poetas muertos.
En lo moderno, diría que es el Flow State de Csikszentmihalyi, ese no-tiempo que muchos buscamos bio-hackear en nuestro día-día (Chronos). La atención se dilata y expande y se traga todo lo que uno es, no solo se está en un tiempo presente que es infinito, se está sin ego. Se está en el cielo.
Obsesivamente medido por Steven Kotler, requiere de un balance casi perfecto entre dificultad, y posibilidad. Muy difícil es frustrante, muy fácil es aburrido. En la mitad es interesante y adictivo. Y sí, el flow state tiene neurológicamente un comportamiento similar a los psicodélicos. Tu cerebro en ondas Alpha y Tetha. Sin ego, sin tiempo. Eres uno con el universo.
El escape perfecto de Chronos... Ahora homo-deus decide meter la mano y crear su propio "dios". 
En el grafiti de mañana, hablaré de la máquina que prometía el Kairos pero terminó aceitando la rueda de hámster. Spoiler: Jevons tenía razón.</t>
  </si>
  <si>
    <t>Crítica al esclavo corporativo</t>
  </si>
  <si>
    <t>Analisis económico</t>
  </si>
  <si>
    <t>EL RIO TRAE PIEDRAS :: AKA Corrección de los mercados.
No soy economista, y esto no es consejo de inversión. Pero me gustaría que un amigo mío me dijera esto.
El mercado financiero global, impulsado por la narrativa AI, se encuentra en una burbuja especulativa clásica (signos evidentes de complacencia, sobre-valoración y flujos de capital circulares).
En la historia de los mercados financieros hay patrones cíclicos: las burbujas tecnológicas explotan después de que la empresa más emblemática de la narrativa va a IPO o salida a bolsa, se genera FOMO, junto con complacencia extrema, luego clic, y luego BOOM!
Hoy, la salida a bolsa de SpaceX (junto a xAI), podría funcionar como el disruptor, el vector de entropía, que luego de elevar el mercado al techo absoluto, marque el inicio del desplome y corrección de la burbuja IA.
El mega-combo de hoy:
1- El índice S&amp;P 500, concentra su 40% en tan solo 7 empresas (megacaps). Mucho peor que cuando explotó la burbuja puntocom.
2- Estas megacaps se prestan dinero unas a otras para que con ese dinero le compren más producto a la que lo prestó. Todos salen lindos en la foto de papel, pero en la realidad el crecimiento es vapor. Como pasó en la burbuja de subprimes, donde también hubo un riesgo sistémico oculto (sector financiero e inmobiliario saludable en el papel, pero con apalancamiento tóxico en la realidad con los CDOs).
3- Un estudio de MIT (The GenAI Divide: State of AI in Business 2025) expone que el 95% de los proyectos de IA generativa en las empresas actuales no dan un retorno de inversión (ROI) positivo.
4- La deflación tecnológica, caso DeepSeek donde demuestra que se puede operar más barato. Y cuando la tecnología se abarata, los márgenes inevitablemente declinan... (en los 90s, Cisco era para internet lo que Nvidia es hoy para AI. Era la empresa más valiosa del mundo. Su acción cayó 90% y, 25 años después, vendía 10 veces más, y aún así no lograba cotizar encima de su máximo.
5- El Indicador Buffett en Máximos: compara el valor total de la bolsa de EEUU con el PIB y está en encima de 230%, el más alto de la historia.
6- El volumen y el valor de las ventas de acciones por parte de los fundadores y directivos (insiders) de las megacaps están en niveles récord.
7- El apalancamiento del inversor minorista (retail o dumb-money) está en máximos históricos, y el índice VIX (mide miedo y volatilidad) está en mínimos, históricamente muy peligroso porque genera efectos cascada ante cualquier corrección.
El río trae piedras... y está empezando a llover...
hashtag#inversion hashtag#negocios hashtag#economia hashtag#AI hashtag#IA</t>
  </si>
  <si>
    <t xml:space="preserve">Neurociencia </t>
  </si>
  <si>
    <t>SÚPER METAS. Productividad. Sistema de activación y reticular: Mi hijo aprende a escribir. Y compro un Lamy
Compré hace poco una pluma Lamy. Y eso me llevó a un nivel de conciencia diferente al escribir. Siempre me ha gustado la caligrafía, un buen papel, cuaderno, y lapicero.
Al mismo tiempo, mi hijo mayor está aprendiendo a escribir. He visto el proceso cognitivo que eso implica, y el alto gasto energético que requiere el proceso.
El cerebro es hiper-eficiente, y todo lo que implica gasto de energía, lo reconsidera.
Por eso, si estás haciendo la lista de tus metas (largo o corto plazo) con tu teclado la estás embarrando.
Tu cerebro tiene un Sistema de Activación Reticular RAS, que sirve de filtro cerebral de qué estímulos acceden la conciencia.
Cómo defines tus metas determina si tu cerebro los ejecuta o ignora, medible en la densidad de sensores (EEG), frecuencias espectrales (Hz) y coherencia funcional.
1 Cementerio digital: Celular y Teclado
Celular: Mínimo reclutamiento neural, sincronización 0% en ondas Alfa y Theta. La coherencia es nula. El cristal liso da resistencia táctil igual para cualquier letra. Tu RAS lo procesa como ruido genérico y lo olvida
Teclado físico: Activa red bimanual, onda Beta ejecutiva, con coherencia insignificante. Digitar "Diseñar plan de negocio" tiene el mismo patrón mecánico que borrar un mail basura. Tu RAS no detecta prioridad biológica, condena la meta a la procrastinación
2 El motor de ejecución: Lápiz y Papel
Letra despegada: Reclutamiento multimodal amplio (corteza visual, parietal superior y el Área de Exner -programas motores). Ondas Theta, activando la memoria de trabajo con coherencia alta. Escribir tus metas así despierta el enfoque ejecutivo inmediato
Letra Cursiva: Pico de conectividad interhemisférica. Por coarticulación, procesa tus metas como bloques motores continuos, sincroniza ondas Theta y Alfa con coherencia absoluta. Esta masiva demanda energética graba el objetivo en el tejido neural: el cerebro ya no solo lee la tarea, la encarna como un compromiso físico
3 El éxito de la lista
Escribir tus metas a mano reprograma tu RAS activando el Fenómeno Baader-Meinhof o ilusión de frecuencia. El cerebro recalibra sus filtros y empieza a cazar en tu entorno cotidiano las soluciones, ideas y personas clave para completar la lista que antes habrían pasado desapercibidas 
(Cuando quieres un tesla gris, lo empiezas a ver en todas partes)
Bonus: tachar físicamente una tarea con tinta genera dopamina que ningún clic en una pantalla va a emular: refuerza el loop de autoconfianza y logro conductual.
Fijar metas en una aplicación es un simple deseo; plasmarlas a mano es una orden de ejecución biológica.
Compra una pluma, mejora tu letra. Escribe tus metas y tareas y cúmplete. Hack de neuro-programación, transforma la lista de tarea abstracta en realidades tangibles.
NO IMPORTA LA VELOCIDAD CON LA QUE ESCRIBES, SINO LA HUELLA NEURAL QUE TE IMPRIMES
hashtag#productividad hashtag#biohack hashtag#metas hashtag#ai hashtag#brAIn</t>
  </si>
  <si>
    <t>GROUNDHOG DAY. RED PILL Y LO OPUESTO AL SUICIDIO CORPORATIVO
"There must be something like the opposite of suicide, whereby a person radically and abruptly decides to start living, or rescue their own life from destruction or obscurity." -Gabe K-Sarkissian
Te levantas. Vas a la oficina. Saludas con la misma sonrisa de compromiso. Contestas los mismos correos usando las mismas plantillas de siempre. Almuerzas a la misma hora, miras el reloj y regresas a casa para repetir exactamente lo mismo mañana.
Te subes a tu ratwheel, corres con todo lo que tienes, te agotas, y permaneces exactamente en el mismo lugar. Es un Groundhog Day infinito donde el calendario es Tetris, los KPIs están ok, pero por dentro estás vacío y muerto. Es algo más que burnout.
En grandes empresas no se es dueño del destino. Por lo general, la opción es cambiar de ratwheel, de una empresa a otra. Por más salario, para que el groundhog day se justifique.
Tengo muchos amigos ahí, yo también estuve ahí en algún momento. Y la vida es muy chévere como para conformarse.
En ciencias cognitivas, se conoce como procesamiento automático extremo: una respuesta adaptativa del cerebro que congela tu identidad y opera en modo de bajo consumo para sobrevivir a la fricción diaria.
Es el letargo zombi corporativo: ejecuta las funciones externas del trabajo, pero le falta una experiencia interna real, de propósito.
Según psicología conductual, el cerebro no sale de un bucle (ratwheel) por reflexión pasiva (el bucle está diseñado para economizar energía y evitar pensar). Para apagar el piloto automático, hay que forzar anomalías en el sistema. Como en The Matrix!
¿Cómo se baja uno de una rueda? Cortocircuito mental.
1. Interrupción de patrón:
El cerebro opera bajo procesamiento predictivo: no vive en presente, proyecta el ayer en el hoy.
Hack: Crea un error en tu rutina. Cambia el orden de tus primeras tres acciones del día. Bloquea las primeras dos horas para un proyecto estratégico. No abrir el mail. Romper la secuencia cronológica obliga a la corteza prefrontal a encenderse y reevaluar el entorno.
2. Menos ancho de banda pasivo
Hay sobrecarga de estímulos de bajo valor (reuniones inútiles, emails infinitos). Tu atención se fragmenta en microtareas automáticas.
Hack: Apagado selectivo. Di NO a todo. si la reunión no requiere tu decisión o ejecución directa, no asistas (estar en silencio y hacer resumen AI)
Recupera atención y tiempo.
3. De Simulación a Realidad
 La rueda es la simulación de movimiento (hacer reportes sobre el trabajo en lugar de hacer el trabajo). Deja de medirte por esfuerzo, hazlo por autonomía y output.
Hack: toma una variable de negocio rota y arréglala sin pedir permiso ni KPI. Pasa de reactivo a agente activo -dopamina por acción, no por cumplimiento.
Bajarse de la rueda no es retirarse del juego. Es, finalmente, empezar a jugarlo despierto.
hashtag#ai hashtag#Productividad hashtag#proposito</t>
  </si>
  <si>
    <t>Crítica a AI</t>
  </si>
  <si>
    <t>CAOS. ANTRIFAGILISMO. VUÉLVETE NEO
El peligro de la IA es que construya un sistema perfectamente óptimo -una Matrix sin ruido e ineficiencias.
Cambiamos de opinión sin datos que lo respalden, tomamos decisiones irracionales y rompemos el guion simplemente porque elegimos hacerlo. Tal vez eso sea lo más humano de la humanidad.
1997: Leo The Selfish Gene -R. Dawkins
1999: Estrenan The Matrix. Leo Out of Control -K. Kelly
2026: Leo Antifragile -N. Taleb
Obsesionados con optimización. Limpiar bases de datos, aplanar curvas de varianza, eliminar fricciones y entrenar modelos predictivos. El objetivo: purgar el código de anomalías.
En sistemas complejos, la búsqueda de la perfección es el camino más rápido hacia la fragilidad total.
Cruzando teoría de sistemas, evolución y filosofía de incentivos, el mal uso de AI nos va a encerrar en una simulación predecible y frágil.
Los Replicadores
En El gen egoísta, Dawkins plantea que somos vehículos biológicos programados para replicar genes -y memes. Ahora, AI como nuevo replicador nos moldea para que consumamos, pensemos y decidamos dentro de patrones estándar. Tragamos la Blue-Pill de la comodidad algorítmica sin notar que perdemos nuestra autonomía.
Fragilidad en el diseño
En Matrix 2, El Arquitecto admite que la primera Matrix era un mundo perfecto, libre de errores y sufrimiento. El resultado? Un colapso sistémico total. En Antigragil, Taleb explica el fenómeno: la sobreoptimización lleva a la fragilidad. Suprimir la volatilidad, ruido, desorden y fallo humano (modelo sin fricción), la red es rígida e hiperfrágil a un Cisne Negro (evento que nadie calcula como posible)
La Mente Colmena Fuera de Control
El Agente Smith quería homogeneidad pura; el AI predictivo también. En Out of Control, Kelly plantea la lógica de las redes vivas: un sistema bajo control absoluto está muerto. Se repite a sí mismo. Para que una mente colmena o un ecosistema (tecnológico) aprenda, se adapte y evolucione, necesita estar, por definición, fuera de control. El error no es un fallo en la simulación; es el único motor real de la innovación.
Qué nos frena de caer en un sistema muerto?
El factor humano de caos. La anomalía. El bug. Neo como representación del cortocircuito humano.
Frente a la predicción algorítmica, nuestra biología conserva un defecto de fábrica clave: Cambiamos de opinión sin datos de respaldo, tomamos decisiones irracionales y rompemos el guion simplemente porque sí.
En tecnología nos han enseñado a ver lo impredecible como un glitch a corregir. En el mundo real, ese bug es nuestra mayor ventaja antifrágil.
Es la variable que introduce el ruido necesario para que el enjambre no se estanque. La fuerza caótica que desbalancea el cálculo del Arquitecto y obliga al sistema a reconfigurarse, abriendo ventanas de asimetría positiva que ningún modelo predictivo puede anticipar.
Nuestro trabajo no es competir en eficiencia contra AI. Es seguir siendo la anomalía que altera el futuro.
 hashtag#ai hashtag#innovacion hashtag#futuro</t>
  </si>
  <si>
    <t>EL lobo y el perro. Libertad o comfort. 
Esta no la escribí yo. La historia viene por tradición oral en un pasamanos infinito desde hace hace 2600 años. Original de Aesop.
Cuando la leí, algo hizo clic.
𝗟𝗔 𝗣𝗔𝗥𝗔𝗕𝗢𝗟𝗔 𝗗𝗘𝗟 𝗟𝗢𝗕𝗢 𝗬 𝗘𝗟 𝗣𝗘𝗥𝗥𝗢
𝐄𝐥 𝐄𝐧𝐜𝐮𝐞𝐧𝐭𝐫𝐨
Un Lobo, que estaba terriblemente flaco, débil y hambriento tras un invierno despiadado, se cruzó en el límite del bosque con un Perro de casa, gordo, fuerte y bien cuidado. El Perro lucía próspero, su pelaje brillaba y era evidente que llevaba una gran vida.
El Lobo, contemplando el robusto cuerpo del Perro, le dijo: 
— ¿Cómo es que te ves tan bien alimentado y fuerte, mientras yo, que soy más rápido y fuerte que tú, casi me muero de hambre?
El Perro respondió con total naturalidad: 
— Tú puedes tener la misma vida que yo si quieres. Solo deja el bosque y ven a vivir conmigo a la casa de mi amo.
— ¿Y qué tendría que hacer? — preguntó el Lobo, intrigado.
— Casi nada — dijo el Perro —. Solo vigilar la casa por la noche, ahuyentar a los ladrones y moverle la cola al amo. A cambio, recibirás carne fresca, huesos de la mesa, sobras deliciosas y el cariño de toda la familia.
𝐋𝐚 𝐑𝐞𝐯𝐞𝐥𝐚𝐜𝐢ó𝐧
Al Lobo se le alegró el corazón. Imaginó una vida libre del viento helado, de las cacerías interminables y del dolor constante del hambre. De buena gana, aceptó acompañar al Perro.
Pero mientras caminaban juntos hacia la aldea, el Lobo notó algo extraño. El pelaje alrededor del cuello del Perro estaba completamente desgastado, dejando ver la piel viva.
— ¿Qué te pasó en el cuello? — preguntó el Lobo.
— Ah, eso no es nada — respondió el Perro restándole importancia —. Es solo la marca del collar. Mi amo me encadena durante el día para que no muerda a las visitas y para que descanse mejor antes de vigilar por la noche. ¡Pero me sueltan en cuanto oscurece!
𝐋𝐚 𝐄𝐥𝐞𝐜𝐜𝐢ó𝐧
El Lobo se detuvo en seco.
— ¿Encadenado? — preguntó el Lobo —. ¿Quieres decir que no eres libre de correr a donde quieras, cuando quieras?
— Bueno, no — admitió el Perro —. ¿Pero qué importa eso cuando la comida es tan buena y la vida es tan fácil?
El Lobo dio media vuelta y miró hacia el bosque oscuro y frío.
— Quédate con tus lujos — dijo el Lobo —. Prefiero pasar hambre como un lobo libre, que engordar como un esclavo.
hashtag#DesarrolloPersonal hashtag#emprendimiento hashtag#lifestrategy</t>
  </si>
  <si>
    <t>Leyenda: columnas amarillas = tu respuesta post por post. La fila EJEMPLO (gris/cursiva) es solo referencia — tus 10 posts reales van en las filas numeradas 1-10.</t>
  </si>
  <si>
    <t>Guía operativa</t>
  </si>
  <si>
    <t>Cadencia, checklist de arranque y estrategia de comentarios/DM. Referencia — no se edita.</t>
  </si>
  <si>
    <t>CADENCIA MES A MES</t>
  </si>
  <si>
    <t>Semana 1 — Prueba</t>
  </si>
  <si>
    <t>3 posts publicados, probando día y horario distinto cada vez (ej. martes AM, miércoles PM, jueves AM — experimento, no certeza). En paralelo: perfil reescrito, banner, Featured, hashtags por registro resueltos. Al cierre: cargar la data en ANALYTICS 24H y elegir el día/horario ganador.</t>
  </si>
  <si>
    <t>Desde semana 2 — L-V</t>
  </si>
  <si>
    <t>Publicación de lunes a viernes sin interrupción, ya con los aprendizajes de la semana 1 integrados (horario ganador, primera lectura de qué registro se mueve más). Cuatro semanas seguidas. Mercado objetivo ya incluye Bogotá, Ecuador, España y México desde esta semana (Audit v27, página 17) — ver columna Mercado en PARRILLA. Video casero se suma como formato en paralelo una vez el horario esté decidido, no antes. Temas y orden se pueblan con los posts #10 a #20 de la pestaña PARRILLA y sus pautas. Checkpoint al cierre de cada semana con la data cargada (ver EL CIERRE DEL GAP).</t>
  </si>
  <si>
    <t>Cierre del ciclo (día ~90)</t>
  </si>
  <si>
    <t>Comparar contra los tres nortes del Audit (mes 1/2/3), medir conversión LinkedIn → Whop, y decidir con TGI si el siguiente ciclo se mantiene en L-V o se ajusta.</t>
  </si>
  <si>
    <t>MERCADOS Y HASHTAGS</t>
  </si>
  <si>
    <t>Mercado objetivo, activo desde semana 1</t>
  </si>
  <si>
    <t>Bogotá (núcleo) · Ecuador (red real de Juan) · España (prioritario, plan de vivir ahí) · México (comparable ya validado). Marcado por post en la columna Mercado de PARRILLA — la mayoría de los posts aplican a los cuatro por igual (temas universales); los que tocan análisis de mercado o resultados de trading llevan bandera CNMV (ver abajo).</t>
  </si>
  <si>
    <t>Hashtags por registro (completa la regla del Audit, máx. 3, página 13)</t>
  </si>
  <si>
    <t>BRAIN: #BrAIn #PensamientoCrítico #EducaciónFinanciera · RED QUEEN: #TheRedQueen #CheckmateTheSystem #TradingConMétodo · LA CORDADA: #Disciplina #ConstanciaReal · CRUCE (antes "IDENTIDAD"): sin hashtag fijo, igual que La Cordada.</t>
  </si>
  <si>
    <t>Límite de honestidad en esta investigación</t>
  </si>
  <si>
    <t>No encontramos hashtags de nicho verificados específicos de España o Ecuador (solo el set general en español). Usa los de arriba en todos los mercados; si más adelante identificas uno propio de un país, súmalo como 4to hashtag puntual, no fijo.</t>
  </si>
  <si>
    <t>Guardrail CNMV (España, guía may-2026)</t>
  </si>
  <si>
    <t>Aplica a cualquier post que toque análisis de mercado, resultados de trading o proyecciones — no solo a los dirigidos a España, porque cualquier post puede llegar allá. Distingue hechos de opiniones, usa ejemplos históricos en vez de proyecciones, no des asesoramiento personalizado. Detalle completo en el Audit, página 16.</t>
  </si>
  <si>
    <t>CHECKLIST DE ARRANQUE (una vez)</t>
  </si>
  <si>
    <t>☐</t>
  </si>
  <si>
    <t>Reemplazar headline y About. Enmarcar Experience (ver perfil reescrito en el Audit).</t>
  </si>
  <si>
    <t>Fijar 3 elementos en Featured (Chronos/Kairos, post #10, link al Whop).</t>
  </si>
  <si>
    <t>Actualizar el banner con el mockup del Audit.</t>
  </si>
  <si>
    <t>Fijar hashtags por registro (ver tabla nueva "MERCADOS Y HASHTAGS" abajo) — completa el sistema, antes solo BRAIN y RED QUEEN tenían hashtags definidos.</t>
  </si>
  <si>
    <t>Leer el guardrail CNMV antes de publicar cualquier post de análisis de mercado o resultados de trading (ver MERCADOS Y HASHTAGS arriba y Audit página 16).</t>
  </si>
  <si>
    <t>Publicar los 3 posts de prueba de la semana 1, elegir horario ganador, e integrar esos aprendizajes al arrancar L-V en la semana 2.</t>
  </si>
  <si>
    <t>Activar comentarios en las cuentas ancla desde la semana 1 (ver abajo).</t>
  </si>
  <si>
    <t>Elegir uno de los tres caminos de precio de Tier 3 (Audit, página 9).</t>
  </si>
  <si>
    <t>Add-on de foto IA: opcional, no bloqueante.</t>
  </si>
  <si>
    <t>COMENTARIOS Y DM: ATRACCIÓN, NO OUTBOUND</t>
  </si>
  <si>
    <t>Dónde comentar</t>
  </si>
  <si>
    <t>En publicaciones originales (no reshares), idealmente dentro de la primera hora tras publicarse. Cuentas ancla: Guillermo Valencia / Macrowise, Mis Propias Finanzas, Pablo Gil, Pablo Tellería / inbestMe (España, nueva jul-2026), y 2-3 más con el mismo criterio (ver Audit, página 8). Frecuencia: 2-3 veces por semana, con un dato o una perspectiva real — nunca "gran post!".</t>
  </si>
  <si>
    <t>Cuándo sí un DM — solo reactivo</t>
  </si>
  <si>
    <t>Únicamente cuando alguien ya mostró interés genuino: comentó algo sustancioso, reaccionó a varios posts seguidos, o escribió primero. Nunca a un desconocido sin interacción previa — eso es el mensaje en frío que Juan no quiere.</t>
  </si>
  <si>
    <t>Guion de DM (solo para quien ya interactuó)</t>
  </si>
  <si>
    <t>"[Nombre], vi que te quedó resonando lo de [tema del post] — ¿ya venías pensando en eso, o te agarró de sorpresa? Cuéntame, con gusto profundizo si te sirve." Abre con lo que él ya mostró interés en decir, no con la oferta.</t>
  </si>
  <si>
    <t xml:space="preserve">  Analytics — Checkpoint de 24 horas</t>
  </si>
  <si>
    <t xml:space="preserve">  Cargar cada post 24h después de publicarlo. Un ajuste a la vez — regla de oro.</t>
  </si>
  <si>
    <t>Fecha post</t>
  </si>
  <si>
    <t>Post / Tema</t>
  </si>
  <si>
    <t>Hook (tensión/humor/cifra vs. explicativo)</t>
  </si>
  <si>
    <t>Pregunta de cierre</t>
  </si>
  <si>
    <t>¿Específica?</t>
  </si>
  <si>
    <t>Horario fijo (mar-jue 7am/12pm)?</t>
  </si>
  <si>
    <t>Alcance</t>
  </si>
  <si>
    <t>Alcance dentro de tu red</t>
  </si>
  <si>
    <t>Alcance fuera de tu red</t>
  </si>
  <si>
    <t>Cargo (top, viewers)</t>
  </si>
  <si>
    <t>País (top, viewers)</t>
  </si>
  <si>
    <t>Seniority (top, viewers)</t>
  </si>
  <si>
    <t>Empresa (top, viewers)</t>
  </si>
  <si>
    <t>Industria (top, viewers)</t>
  </si>
  <si>
    <t>Tamaño de empresa (top, viewers)</t>
  </si>
  <si>
    <t>Interacciones</t>
  </si>
  <si>
    <t>Eng/Alcance</t>
  </si>
  <si>
    <t>Seguidores nuevos</t>
  </si>
  <si>
    <t>Vistas de perfil</t>
  </si>
  <si>
    <t>Decisión próximo post</t>
  </si>
  <si>
    <t>HISTÓRICO — 9 posts previos a esta estrategia (fuente: formulario de intake de Juan). Referencia para medir antes/después — no editable.</t>
  </si>
  <si>
    <t>confirmar</t>
  </si>
  <si>
    <t>El espacio liminal y el nuevo oficio</t>
  </si>
  <si>
    <t>n/d — histórico</t>
  </si>
  <si>
    <t>Account Manager
4%
Sales Manager
3%
Sales Specialist
2%
Project Manager
2%
Account Executive
1%
Chief Executive Officer
1%
Commercial Manager
1%
Solutions Architect
1%
Co-Founder
1%</t>
  </si>
  <si>
    <t xml:space="preserve">Bogotá D.C. Metropolitan Area
49%
Quito Metropolitan Area
3%
Miami-Fort Lauderdale Area
3%
Cali Metropolitan Area
2%
Medellín Metropolitan Area
2%
Greater Madrid Metropolitan Area
2%
Mexico City Metropolitan Area
2%
Greater Buenos Aires
2%
Barranquilla Metropolitan Area
1%
</t>
  </si>
  <si>
    <t>Senior
34%
Entry
21%
Manager
12%
Director
9%
VP
3%
CXO
3%
Owner
2%</t>
  </si>
  <si>
    <t>Oracle
6%
Schneider Electric
4%
Hewlett Packard Enterprise
2%
Salesforce
2%
IBM
2%
SONDA
2%
Amazon Web Services (AWS)
1%
Banco Pichincha
1%
HP
1%</t>
  </si>
  <si>
    <t>IT Services and IT Consulting
44%
Technology, Information and Internet
8%
Software Development
5%
Banking
4%
Telecommunications
4%
Financial Services
3%
Business Consulting and Services
2%
Advertising Services
2%
Appliances, Electrical, and Electronics Manufacturing
1%
Automation Machinery Manufacturing
1%</t>
  </si>
  <si>
    <t xml:space="preserve">10,001+ employees
39%
1,001-5,000 employees
8%
2-10 employees
6%
5,001-10,000 employees
6%
51-200 employees
6%
11-50 employees
5%
501-1,000 employees
4%
201-500 employees
4%
</t>
  </si>
  <si>
    <t>n/d — perfil, no por post</t>
  </si>
  <si>
    <t>Post histórico, pre-cadencia — solo referencia.</t>
  </si>
  <si>
    <t>Comienzo del universo, Parte 1 (Chronos/Kairos)</t>
  </si>
  <si>
    <t>Account Manager
6%
Sales Manager
4%</t>
  </si>
  <si>
    <t xml:space="preserve">Bogotá D.C. Metropolitan Area
55%
</t>
  </si>
  <si>
    <t>Senior
40%
Entry
21%
Manager
15%
Director
5%</t>
  </si>
  <si>
    <t>Schneider Electric
6%
Oracle
4%
Fortinet
4%
Salesforce
4%</t>
  </si>
  <si>
    <t>IT Services and IT Consulting
43%
Technology, Information and Internet
6%
Telecommunications
6%
Appliances, Electrical, and Electronics Manufacturing
4%
Financial Services
4%</t>
  </si>
  <si>
    <t>10,001+ employees
40%
2-10 employees
9%
51-200 employees
9%
501-1,000 employees
7%
1,001-5,000 employees
6%
11-50 employees
6%
201-500 employees
5%
5,001-10,000 employees
4%</t>
  </si>
  <si>
    <t>Comienzo del universo, Parte 2 (nacimiento de BRAIN)</t>
  </si>
  <si>
    <t>Bogotá D.C. Metropolitan Area
55%</t>
  </si>
  <si>
    <t>Memento Mori</t>
  </si>
  <si>
    <t>Account Manager
6%</t>
  </si>
  <si>
    <t>Bogotá D.C. Metropolitan Area
53%
Quito Metropolitan Area
4%</t>
  </si>
  <si>
    <t>Senior
28%
Entry
21%
Manager
20%
Director
8%</t>
  </si>
  <si>
    <t>Oracle
5%
Schneider Electric
4%
HP
4%</t>
  </si>
  <si>
    <t>IT Services and IT Consulting
42%
Technology, Information and Internet
9%
Software Development
6%
Banking
5%
Telecommunications
4%</t>
  </si>
  <si>
    <t>10,001+ employees
36%
51-200 employees
9%
11-50 employees
8%
1,001-5,000 employees
8%
5,001-10,000 employees
7%
2-10 employees
6%
501-1,000 employees
4%</t>
  </si>
  <si>
    <t>El río trae piedras (análisis de mercado)</t>
  </si>
  <si>
    <t>Account Manager
3%
Sales Manager
3%</t>
  </si>
  <si>
    <t>Bogotá D.C. Metropolitan Area
49%
Medellín Metropolitan Area
4%
Quito Metropolitan Area
3%
Cali Metropolitan Area
3%</t>
  </si>
  <si>
    <t>Senior
36%
Entry
17%
Manager
17%
Director
7%
Owner
4%
VP
3%</t>
  </si>
  <si>
    <t>Oracle
8%
Schneider Electric
3%</t>
  </si>
  <si>
    <t>IT Services and IT Consulting
38%
Technology, Information and Internet
7%
Banking
4%
Telecommunications
3%
Business Consulting and Services
3%
Financial Services
3%
Software Development
3%
Appliances, Electrical, and Electronics Manufacturing
3%</t>
  </si>
  <si>
    <t>10,001+ employees
36%
1,001-5,000 employees
10%
2-10 employees
10%
501-1,000 employees
8%
11-50 employees
6%
5,001-10,000 employees
6%
51-200 employees
5%</t>
  </si>
  <si>
    <t>Súper metas — RAS y escribir a mano</t>
  </si>
  <si>
    <t>Bogotá D.C. Metropolitan Area
55%
Medellín Metropolitan Area
3%
Greater Madrid Metropolitan Area
3%
Mexico City Metropolitan Area
3%</t>
  </si>
  <si>
    <t>Senior
37%
Manager
18%
Entry
17%
Director
10%
Owner
3%</t>
  </si>
  <si>
    <t>Oracle
5%
Banco Davivienda
3%</t>
  </si>
  <si>
    <t>IT Services and IT Consulting
40%
Software Development
6%
Technology, Information and Internet
6%
Financial Services
6%
Advertising Services
3%
Telecommunications
3%</t>
  </si>
  <si>
    <t>10,001+ employees
34%
51-200 employees
12%
1,001-5,000 employees
10%
5,001-10,000 employees
8%
2-10 employees
7%
501-1,000 employees
4%
201-500 employees
4%
11-50 employees
4%</t>
  </si>
  <si>
    <t>Groundhog Day / Red Pill</t>
  </si>
  <si>
    <t>Account Manager
7%</t>
  </si>
  <si>
    <t>Bogotá D.C. Metropolitan Area
52%</t>
  </si>
  <si>
    <t>Senior
35%
Entry
20%
Director
13%
Manager
8%</t>
  </si>
  <si>
    <t>Oracle
7%</t>
  </si>
  <si>
    <t>IT Services and IT Consulting
38%
Technology, Information and Internet
6%
Software Development
5%</t>
  </si>
  <si>
    <t>10,001+ employees
29%
1,001-5,000 employees
10%
2-10 employees
8%
501-1,000 employees
7%
11-50 employees
6%
201-500 employees
6%
5,001-10,000 employees
4%
51-200 employees
4%</t>
  </si>
  <si>
    <t>Caos, antifragilismo, vuélvete Neo</t>
  </si>
  <si>
    <t>Account Manager
4%
Account Executive
3%
Founder
3%
General Manager
3%
Co-Founder
2%</t>
  </si>
  <si>
    <t>Bogotá D.C. Metropolitan Area
52%
Medellín Metropolitan Area
4%
Greater Madrid Metropolitan Area
3%
Miami-Fort Lauderdale Area
2%</t>
  </si>
  <si>
    <t>Senior
35%
Entry
15%
Manager
12%
Director
9%
VP
4%
CXO
4%
Owner
3%</t>
  </si>
  <si>
    <t>Oracle
6%
Salesforce
3%
Schneider Electric
3%
IBM
2%</t>
  </si>
  <si>
    <t>IT Services and IT Consulting
35%
Technology, Information and Internet
9%
Software Development
7%
Telecommunications
4%
Financial Services
3%
Business Consulting and Services
3%</t>
  </si>
  <si>
    <t>10,001+ employees
34%
1,001-5,000 employees
9%
2-10 employees
8%
51-200 employees
7%
11-50 employees
6%
5,001-10,000 employees
6%
201-500 employees
4%
501-1,000 employees
4%</t>
  </si>
  <si>
    <t>El lobo y el perro</t>
  </si>
  <si>
    <t>Account Manager
3%
Account Executive
2%
Co-Founder
2%
General Manager
2%
Sales Manager
2%
Founder
1%</t>
  </si>
  <si>
    <t>Bogotá D.C. Metropolitan Area
43%
Santiago Metropolitan Area
4%
Mexico City Metropolitan Area
3%
Medellín Metropolitan Area
2%
Lima Metropolitan Area
2%
Greater Buenos Aires
2%
Quito Metropolitan Area
2%
Cali Metropolitan Area
2%
Greater Madrid Metropolitan Area
1%</t>
  </si>
  <si>
    <t xml:space="preserve">Senior
37%
Entry
18%
Manager
9%
Director
6%
VP
4%
Owner
3%
CXO
2%
</t>
  </si>
  <si>
    <t>Schneider Electric
6%
Oracle
4%</t>
  </si>
  <si>
    <t>IT Services and IT Consulting
26%
Technology, Information and Internet
5%
Financial Services
5%
Transportation, Logistics, Supply Chain and Storage
4%
Business Consulting and Services
4%
Appliances, Electrical, and Electronics Manufacturing
4%
Telecommunications
3%
Software Development
3%
Human Resources Services
2%</t>
  </si>
  <si>
    <t xml:space="preserve">10,001+ employees
29%
1,001-5,000 employees
10%
2-10 employees
7%
201-500 employees
7%
51-200 employees
6%
501-1,000 employees
6%
11-50 employees
5%
5,001-10,000 employees
4%
</t>
  </si>
  <si>
    <t>LÍNEA BASE</t>
  </si>
  <si>
    <t>Promedio de los 9 posts históricos — punto de comparación fijo para cada post nuevo</t>
  </si>
  <si>
    <t>n/d — sin dato de cargo consistente en los 9 históricos</t>
  </si>
  <si>
    <t>Bogotá ~51% (top país estable)</t>
  </si>
  <si>
    <t>Senior ~36% (sube cuando el post sale más de la red)</t>
  </si>
  <si>
    <t>Oracle + Schneider ~9% combinado — núcleo leal, estable en 8/9 posts</t>
  </si>
  <si>
    <t>IT Services/Consulting ~39% (baja cuando el post sale más de la red)</t>
  </si>
  <si>
    <t>10.001+ empleados ~35%</t>
  </si>
  <si>
    <t>Compara cada fila nueva contra esta línea — no contra un promedio general.</t>
  </si>
  <si>
    <t>DESDE POST #10 — cargar cada fila 24h después de publicar (celdas en azul).</t>
  </si>
  <si>
    <t>22/07/2026</t>
  </si>
  <si>
    <t>El grafiti que le pone nombre a la pared (RED QUEEN #10)</t>
  </si>
  <si>
    <t>pendiente — clasificar</t>
  </si>
  <si>
    <t>No tiene pregunta de cierre</t>
  </si>
  <si>
    <t>Account Manager 3%, Account Executive 2%, Sales Manager 2%, Founder 1%, Sales Director 1%, Sales Specialist 1%, CEO 1%, Solutions Architect 1%, Co-Founder 1%</t>
  </si>
  <si>
    <t>Bogotá 50%, Ciudad de México 4%, Medellín 3%, Santiago 2%, Quito 2%, Miami-Fort Lauderdale 2%, Buenos Aires 2%, Madrid 1%, Cali 1%</t>
  </si>
  <si>
    <t>Senior 37%, Entry 17%, Manager 13%, Director 10%, CXO 4%, VP 4%, Owner 2%, Partner 1%</t>
  </si>
  <si>
    <t>Oracle 6%, Schneider Electric 3%, Salesforce 2%, HPE 2%, AWS 2%, Microsoft 1%, IBM 1%, Kyndryl 1%, Google 1%</t>
  </si>
  <si>
    <t>IT Services and IT Consulting 36%, Technology/Internet 7%, Software Development 6%, Financial Services 4%, Business Consulting 3%, Telecommunications 3%, Advertising Services 3%, Banking 2%, Appliances/Electronics Mfg 2%, Transportation/Logistics 1%</t>
  </si>
  <si>
    <t>10,001+ empleados 37%, 1,001-5,000 11%, 11-50 7%, 5,001-10,000 7%, 51-200 6%, 501-1,000 6%, 2-10 6%, 201-500 4%</t>
  </si>
  <si>
    <t>Desglose real (analítica del post, a la fecha de este corte): 66 reacciones, 22 comentarios, 1 guardado, 0 reposts, 0 envíos — 89 en total. SIGUE EN CERO COMPARTIDOS, igual que los 9 posts históricos: la meta del Audit para el día 30 (≥5 compartidos en un post) no se ha cumplido todavía, pese al salto de impresiones y alcance. Franja mañana confirmada (miércoles 7am) — no declarar horario ganador todavía. Publicar #11 (almuerzo) y #12 (fin de jornada) para completar la comparación de las tres franjas de semana 1.</t>
  </si>
  <si>
    <t>27/07/2026</t>
  </si>
  <si>
    <t>Nunca escales sin belayer. Nunca trading sin Stop Loss. (LA CORDADA #11)</t>
  </si>
  <si>
    <t>Texto + 2 imágenes (foto real de escalada + gráfico custom: escalador sobre velas, belayer = Stop Loss)</t>
  </si>
  <si>
    <t>Explicativo/técnico primero, mecanismo mapeado (belayer=Stop Loss), cierre con lección explícita</t>
  </si>
  <si>
    <t>No tiene pregunta de cierre — cierra con 'Lecciones para la vida...' explícito</t>
  </si>
  <si>
    <t>No — se movió a mañana (7:45 AM), igual que el #10, no a la franja de almuerzo planeada</t>
  </si>
  <si>
    <t>pendiente — cargar en 24h (28/07)</t>
  </si>
  <si>
    <t>Pendiente cargar analítica de 24h. Registrar especialmente: impresiones/alcance vs. promedio histórico (491), y si el gráfico custom (primera vez que se usa este formato) mueve el % de alcance fuera de red distinto a los posts solo-texto.</t>
  </si>
  <si>
    <t xml:space="preserve">  Perfil semanal — foto + data de audiencia</t>
  </si>
  <si>
    <t xml:space="preserve">  Cada sábado: actualizar métricas y subir captura a la carpeta de fotos semanales en Drive, pegar el link acá.</t>
  </si>
  <si>
    <t>Semana (corte)</t>
  </si>
  <si>
    <t>Seguidores</t>
  </si>
  <si>
    <t>Δ Seguidores</t>
  </si>
  <si>
    <t>Conexiones 1er grado</t>
  </si>
  <si>
    <t>Cargo (fundador/CEO/etc)</t>
  </si>
  <si>
    <t>Geografía top</t>
  </si>
  <si>
    <t>Seniority c/ poder decisión</t>
  </si>
  <si>
    <t>Empresa (top)</t>
  </si>
  <si>
    <t>Sector top</t>
  </si>
  <si>
    <t>Tamaño de empresa (top)</t>
  </si>
  <si>
    <t>Impresiones/día prom.</t>
  </si>
  <si>
    <t>Vistas de perfil/día prom.</t>
  </si>
  <si>
    <t>Visitas dentro de tu red</t>
  </si>
  <si>
    <t>Visitas fuera de tu red</t>
  </si>
  <si>
    <t>Link captura de pantalla (Drive)</t>
  </si>
  <si>
    <t>Cambios de comportamiento observados</t>
  </si>
  <si>
    <t>N/A — primer corte</t>
  </si>
  <si>
    <t>no reportado — pendiente</t>
  </si>
  <si>
    <t>Bogotá (incompleto — falta top 3 real con %)</t>
  </si>
  <si>
    <t>Senior, Entry, Manager (top 3 niveles, del intake) — falta el % específico con poder de decisión real (fundador/C-level/director)</t>
  </si>
  <si>
    <t>IT Services/Consulting, Telecom, Tech/Internet (top 3, sin %)</t>
  </si>
  <si>
    <t>+21% de seguidores nuevos en 90 días (~900) sin cadencia activa ni un solo compartido — probable SEO de perfil o sugerencias de LinkedIn. Preguntarle a Juan a qué lo atribuye.</t>
  </si>
  <si>
    <t>+204 vs. corte anterior (5,205 → 5,409); LinkedIn reporta +187 seguidores nuevos en la ventana Jul 20–26 (gráfico de crecimiento acumulado) y +4% vs. los 7 días previos — ambas lecturas apuntan en la misma dirección, diferencia explicable por altas/bajas fuera de la ventana exacta del gráfico.</t>
  </si>
  <si>
    <t>Account Manager 3%, CEO 2%, General Manager 2%, Sales Manager 2%, Project Manager 2%, Founder 2%, Commercial Manager 2%, Account Executive 2%, Sales Specialist 1%</t>
  </si>
  <si>
    <t>Bogotá 44%, Cali 4%, Medellín 4%, Quito 2%, Miami-Fort Lauderdale 2%, Ciudad de México 2%, Barranquilla 1%, Buenos Aires 1%, Madrid 1%</t>
  </si>
  <si>
    <t>Senior 40%, Entry 18%, Manager 9%, Director 9%, VP 5%, CXO 4%, Owner 2%, Partner 2% — Director+ combinado ≈ 20%</t>
  </si>
  <si>
    <t>Oracle 3%, Hewlett Packard Enterprise 2%, IBM 1%, SAP 1%, Controles Empresariales 1%, HP 1%, Banco Pichincha 1%, AWS 1%, Microsoft 1%</t>
  </si>
  <si>
    <t>IT Services and IT Consulting 36%, Tech/Info/Internet 5%, Telecomunicaciones 5%, Software Development 5%, Business Consulting 4%, Financial Services 4%, Banking 3%, HR Services 2%, Advertising 2%, Computer Hardware Mfg 2%</t>
  </si>
  <si>
    <t>10,001+ empleados 24%, 1,001-5,000 10%, 11-50 9%, 51-200 9%, 2-10 8%, 501-1,000 6%, 201-500 6%, 5,001-10,000 6%, 0-1 1%</t>
  </si>
  <si>
    <t>Capturas recibidas por chat el 26 jul (Overview, Follower growth, Top demographics x6, Content performance, Discovery, Top performing posts) — pendiente subir a carpeta Drive de fotos semanales.</t>
  </si>
  <si>
    <t>Primera semana con un post nuevo real (#10, RED QUEEN, publicado 22 jul) desde que se reescribió headline/About/Experience. Impresiones 3,907 en 7 días (+1,095% vs. semana previa; el propio LinkedIn compara contra la ventana de la pausa 9-15 jul, ver Bitácora). Casi toda la cifra la explican 3 posts: #10 (~3K impr., 109 interacciones), y dos históricos que siguen circulando ("El lobo y el perro" 189 impr., "Caos/Antifragilismo" 62 impr.) — ~83% del total en 3 piezas. Alcance del contenido esta semana: 54% dentro de tu red / 46% fuera — más alto que el 35% fuera de red del promedio histórico (9 posts), aunque con n=1 post nuevo no se puede aislar si es el post, el perfil reescrito, o la suma de ambos. Apariciones en búsqueda siguen planas (31, 0% vs. semana previa) — ventana Jul14-20, anterior a la publicación del post 22 jul; falta el próximo corte para saber si también se mueve. Geografía de seguidores se diversifica: Bogotá baja a 44% (vs. ~51% en el promedio histórico de viewers) y aparecen Quito, Madrid y Ciudad de México en el top — dirección compatible con la expansión de mercado a Ecuador/España/México (Audit v27), aunque es una sola semana de datos, no un patrón. Tamaño de empresa también se diversifica: 10,001+ empleados baja a 24% (vs. ~35% histórico) — más presencia de empresas chicas/independientes, más cerca del ICP de Juan (empleados buscando segundo ingreso, no necesariamente de corporativos grandes).</t>
  </si>
  <si>
    <t xml:space="preserve">  Iteración de contenido</t>
  </si>
  <si>
    <t xml:space="preserve">  Un registro por cada variable que se prueba — nunca cambiar hook + horario + formato en el mismo post.</t>
  </si>
  <si>
    <t>Fecha</t>
  </si>
  <si>
    <t>Post / Idea probada</t>
  </si>
  <si>
    <t>Variable testeada (una sola)</t>
  </si>
  <si>
    <t>Hipótesis</t>
  </si>
  <si>
    <t>Resultado (vs. promedio)</t>
  </si>
  <si>
    <t>Decisión</t>
  </si>
  <si>
    <t>Próximo test</t>
  </si>
  <si>
    <t>Posts #10-12 (semana 1 de prueba)</t>
  </si>
  <si>
    <t>Franja horaria: mañana (7:45 AM) vs. almuerzo (12:30 PM) vs. fin de jornada (5:30 PM)</t>
  </si>
  <si>
    <t>Para audiencia corporativa hispanohablante, mañana y almuerzo superan la tarde-noche (research LatAm) — a diferencia del benchmark global.</t>
  </si>
  <si>
    <t>Franja mañana (post #10, RED QUEEN, miércoles 22/07 · 7:00 AM): ~3,000 impresiones / 109 interacciones — muy por encima del promedio histórico (491 impr. / 12 interacciones). Faltan almuerzo (#11) y fin de jornada (#12) para comparar las tres franjas entre sí.</t>
  </si>
  <si>
    <t>1 de 3 franjas probada — mañana con resultado fuerte, pero no se puede declarar ganador todavía. Publicar #11 y #12 en sus franjas (almuerzo y fin de jornada) antes de decidir horario para semanas 2-5.</t>
  </si>
  <si>
    <t>Si hay ganador claro, probar variación de día de semana (mar/jue vs. lun/vie) en semana 3.</t>
  </si>
  <si>
    <t>Ejemplo ↓ (borrar antes de usar)</t>
  </si>
  <si>
    <t>14/07/2026</t>
  </si>
  <si>
    <t>Messi (trivia, ES)</t>
  </si>
  <si>
    <t>Hook: tensión/humor vs. explicativo</t>
  </si>
  <si>
    <t>Hook con tensión sube conversión a seguidor</t>
  </si>
  <si>
    <t>2 seguidores nuevos vs. 0 promedio — confirma hipótesis</t>
  </si>
  <si>
    <t>Mantener patrón de hook</t>
  </si>
  <si>
    <t>Probar el mismo hook en inglés, ICP distinto</t>
  </si>
  <si>
    <t>Post #11 (semana 2, día 1)</t>
  </si>
  <si>
    <t>Franja horaria real vs. franja planeada</t>
  </si>
  <si>
    <t>Con el post #10 ya fue franja mañana en vez de la planeada. Si #11 (planeado para almuerzo) también sale en mañana, es una preferencia real de Juan, no una coincidencia de calendario.</t>
  </si>
  <si>
    <t>Confirmado: post #11 salió 27/07 · 7:45 AM (franja mañana), no en la franja de almuerzo (12:30 PM) que tenía asignada. Van 2 de 2 posts publicados, ambos en franja mañana, ninguno en su franja original planeada.</t>
  </si>
  <si>
    <t>Dejar de tratar el horario como prueba controlada de 3 franjas — la señal real hasta ahora es que Juan publica cuando tiene el tiempo/ánimo, y eso tiende a ser en la mañana. Proponer consolidar franja mañana como default para el resto de semana 2, en vez de forzar almuerzo/tarde en #13-15.</t>
  </si>
  <si>
    <t xml:space="preserve">  Bitácora de ideas</t>
  </si>
  <si>
    <t xml:space="preserve">  Ideas sueltas en cualquier momento — no esperar al corte semanal para anotarlas.</t>
  </si>
  <si>
    <t>Idea</t>
  </si>
  <si>
    <t>Categoría</t>
  </si>
  <si>
    <t>Nota</t>
  </si>
  <si>
    <t>s/f</t>
  </si>
  <si>
    <t>El RAS y el efecto Baader-Meinhof — entrenar tu atención para detectar patrones</t>
  </si>
  <si>
    <t>Por desarrollar</t>
  </si>
  <si>
    <t>Notas propias de Juan</t>
  </si>
  <si>
    <t>Binaural beats como atajo de meditación</t>
  </si>
  <si>
    <t>Flow State parte 2 — carga alostática y reseteo</t>
  </si>
  <si>
    <t>Entropía y termodinámica aplicada a la empresa (puntos de energía, resiliencia)</t>
  </si>
  <si>
    <t>Árboles de decisión y fractalidad (Mandelbrot)</t>
  </si>
  <si>
    <t>La asimetría esfuerzo-resultado en trading (ley de potencia)</t>
  </si>
  <si>
    <t>Supervivencia y dopamina en mamíferos vs. humanos — la importancia del descanso</t>
  </si>
  <si>
    <t>Kairos, otra vez — por qué el momento importa más que el tiempo (continuación)</t>
  </si>
  <si>
    <t>Por qué el 99% no lo logra en trading — la disciplina como diferenciador</t>
  </si>
  <si>
    <t>INSPIRADO EN OTRO AUTOR (post de X de kikoundercover) — reescribir en voz propia, NO copiar ni parafrasear cerca del original.</t>
  </si>
  <si>
    <t>Por qué explicar corto acelera las decisiones — aplicado a cómo lees el mercado</t>
  </si>
  <si>
    <t>INSPIRADO EN OTRO AUTOR (ensayo guardado sobre "concise explanations") — reescribir en voz propia, NO copiar.</t>
  </si>
  <si>
    <t>La búsqueda de la felicidad como meta que se autodestruye — aprender de la incomodidad en trading</t>
  </si>
  <si>
    <t>INSPIRADO EN OTRO AUTOR (texto guardado sobre la búsqueda de la felicidad y el sacrificio, ref. Durkheim) — reescribir en voz propia, NO copiar.</t>
  </si>
  <si>
    <t>21/07/2026</t>
  </si>
  <si>
    <t>Conectar LinkedIn con el whop de The Red Queen (link trackeable / UTM / código de invitación) para medir conversión real, no solo engagement.</t>
  </si>
  <si>
    <t>OPERATIVO — FUNNEL</t>
  </si>
  <si>
    <t>En espera</t>
  </si>
  <si>
    <t>El whop de Juan aún no está creado. Retomar como tarea prioritaria en cuanto exista — hoy no hay forma de saber si el crecimiento en LinkedIn se traduce en negocio real.</t>
  </si>
  <si>
    <t>Cultivar a Javier Ortiz (exjefe y amigo de Juan, contacto de Schneider Electric) como engager ancla — pedirle que comente en los primeros 15-30 min de cada post para impulsar la distribución algorítmica.</t>
  </si>
  <si>
    <t>OPERATIVO — DISTRIBUCIÓN</t>
  </si>
  <si>
    <t>Por proponer a Juan</t>
  </si>
  <si>
    <t>Identificado en el análisis de audiencia de los 9 posts históricos (jul-2026): Schneider Electric aparece de forma estable (~9% combinado con Oracle) en gran parte por esta relación — hoy es un efecto pasivo, se puede volver una táctica activa.</t>
  </si>
  <si>
    <t>Post de bono/incentivo (activar ene-mar, fuera del ciclo actual): "tu esfuerzo no se tradujo en lo que esperabas" — la decepción del bono confirmado en marzo, más que la alegría, como gancho de la paradoja de incentivos.</t>
  </si>
  <si>
    <t>En espera — activar en el segundo ciclo</t>
  </si>
  <si>
    <t>Del Audit v27, página 17. No es para las próximas 4 semanas — marcar para retomar cuando empiece la ventana ene-mar.</t>
  </si>
  <si>
    <t>Post con guiño a Ecuador: dolarización como metáfora de estabilidad ('lo único que no fluctúa eres tú y tu método') — sin inventar anécdota nueva, apoyado en algo real que Juan ya viva o conozca de su tiempo allá.</t>
  </si>
  <si>
    <t>Por desarrollar — necesita input real de Juan</t>
  </si>
  <si>
    <t>Ecuador es mercado prioritario (Audit v27, página 17) pero no hay cuenta de referencia allá todavía — este post ayuda a plantar bandera. Confirmar con Juan una anécdota real de sus años en Ecuador antes de escribirlo.</t>
  </si>
  <si>
    <t>Post educativo con lenguaje CNMV-seguro (ejemplos históricos, no proyecciones) pensado para aterrizar bien en España desde el día uno — probar si el registro BRAIN narrativo convierte allá.</t>
  </si>
  <si>
    <t>Valida la hipótesis de la página 13 del Audit (storytelling funciona en España) con data real, no solo con la investigación general de mercado.</t>
  </si>
  <si>
    <t>Primer video casero: versión hablada de un post ya escrito de alto desempeño (candidato: #10 o #12), con subtítulos quemados — 85% de los videos en LinkedIn se ven sin sonido.</t>
  </si>
  <si>
    <t>En espera — activar tras cerrar prueba de horario</t>
  </si>
  <si>
    <t>Del Audit v27, página 11. No compite con la prueba de horario en curso — se activa cuando esa prueba tenga ganador, para no probar dos variables a la vez.</t>
  </si>
  <si>
    <t>16/07/2026</t>
  </si>
  <si>
    <t>Carrusel: cómo evaluar una propuesta con IA en 5 preguntas</t>
  </si>
  <si>
    <t>Comprador (ICP)</t>
  </si>
  <si>
    <t>Nueva</t>
  </si>
  <si>
    <t>Dirigido a quien aprueba presupuesto, no a quien produce.</t>
  </si>
  <si>
    <t>Cómo se deciden tantas cosas en trading en milisegundos (Audit ya toca la inmediatez de la consecuencia, post #13), y cómo las noches de insomnio jugando videojuegos de joven lo prepararon para ese tipo de decisión rápida bajo presión. Idea de Juan, guardada para desarrollar como post propio, no forzarla dentro de #13.</t>
  </si>
  <si>
    <t>Pilar de historia 'Meditación' (Audit pág. 14, 'casi nadie en el nicho la toca') todavía sin post propio — pedirle a Juan un hecho real y concreto de su práctica (desde cuándo, qué formato, un momento puntual) antes de escribir el post, para no fabricar una anécdota.</t>
  </si>
  <si>
    <t>Detectado en la redacción holística de los posts #15-30 (27/07).</t>
  </si>
  <si>
    <t>Pilar de historia 'Fotografía y viajes' (Audit pág. 14, 'prueba visual de tu para qué') todavía sin post propio — pedirle a Juan una foto y un viaje real concretos (dónde, cuándo, qué representa) antes de escribir el post.</t>
  </si>
  <si>
    <t xml:space="preserve">  Learnings de voz y contenido</t>
  </si>
  <si>
    <t xml:space="preserve">  Hallazgos sueltos sobre cómo escribe y decide Juan — se van registrando aquí semana a semana, antes de que exista suficiente data para la Bitácora formal de Learnings y Recomendaciones (esa se arma al cierre de la primera semana entera al aire, con foto completa de resultados).</t>
  </si>
  <si>
    <t xml:space="preserve">  Última actualización: 21 de julio, 2026 · Todavía no hay data de posts publicados — el post #10 sale hoy.</t>
  </si>
  <si>
    <t xml:space="preserve">  21 JUL — CALIBRACIÓN DE VOZ, POST #10 (ANTES DE PUBLICAR)</t>
  </si>
  <si>
    <t>Contexto</t>
  </si>
  <si>
    <t>Para el post de lanzamiento de The Red Queen, Juan recibió dos versiones: una propuesta de IA (más corta, más directa, cierra con call-to-action de guardar) y la que él mismo escribió/prefirió (más larga, más explicativa). Comparar ambas da la primera señal real de su voz, más allá de lo que dijo en el intake:</t>
  </si>
  <si>
    <t>Explica de más, no de menos</t>
  </si>
  <si>
    <t>La versión de IA asume que el lector conecta "The Red Queen" con la teoría evolutiva; Juan nombra explícitamente el efecto Red Queen y su origen, aunque alargue el post.</t>
  </si>
  <si>
    <t>Define audiencia dentro del post</t>
  </si>
  <si>
    <t>"Para todo el que es empleado, pero también para el que quiere dejar de serlo" — no la deja implícita.</t>
  </si>
  <si>
    <t>Lista beneficios explícitos</t>
  </si>
  <si>
    <t>Dinero por unidad de tiempo, antifragilidad, no depender del miedo a ser despedido, hacer lo que le gusta — enumerados, no como subtexto.</t>
  </si>
  <si>
    <t>Usa asteriscos para énfasis</t>
  </si>
  <si>
    <t>*The Red Queen*, *CHECKMATE THE SYSTEM!* — intención de itálica/negrita (LinkedIn no lo renderiza así, ver recomendación abajo).</t>
  </si>
  <si>
    <t>Cierra con nota meta</t>
  </si>
  <si>
    <t>"Esto va a ir evolucionando..." — trata el contenido como trabajo en progreso visible, no pieza cerrada.</t>
  </si>
  <si>
    <t>Lectura</t>
  </si>
  <si>
    <t>Un solo dato no es patrón confirmado — pero la dirección es clara: su instinto es más explicación y más extensión que el default de la IA, no menos.</t>
  </si>
  <si>
    <t xml:space="preserve">  RECOMENDACIONES CONCRETAS (mientras se arma la bitácora formal)</t>
  </si>
  <si>
    <t>Extensión de las propuestas</t>
  </si>
  <si>
    <t>Al generar copy para Juan, partir de una versión más larga y explicativa como primera propuesta, no la más comprimida — que él corte si quiere, no que tenga que expandir.</t>
  </si>
  <si>
    <t>Formato de énfasis</t>
  </si>
  <si>
    <t>Avisarle que LinkedIn no renderiza asteriscos como itálica o negrita — se ven literales en el post publicado. Alternativa: conversor a itálica/negrita Unicode antes de pegar, o aceptar que no se vea en cursiva.</t>
  </si>
  <si>
    <t>Estructura</t>
  </si>
  <si>
    <t>Dejar espacio explícito para que liste beneficios y audiencia de forma directa dentro del texto, en vez de resumir eso fuera del post.</t>
  </si>
  <si>
    <t>Tono meta</t>
  </si>
  <si>
    <t>El cierre "esto va evolucionando" es coherente con su voz — no hace falta quitarlo cuando el tema lo amerite.</t>
  </si>
  <si>
    <t xml:space="preserve">  PRÓXIMO CORTE FORMAL</t>
  </si>
  <si>
    <t>Bitácora completa</t>
  </si>
  <si>
    <t>Se arma al cierre de la primera semana entera al aire (balance estratégico, qué muestra la data, recomendaciones por sub-tema) — no antes, para no forzar conclusiones sobre una muestra de cero o un post.</t>
  </si>
  <si>
    <t>26 JUL — POST #10 PUBLICADO, PRIMER CORTE CON DATA REAL</t>
  </si>
  <si>
    <t>Confirmación de la hipótesis de voz</t>
  </si>
  <si>
    <t>El post que Juan prefirió sobre la propuesta de IA (más largo, más explicativo, define audiencia y lista beneficios explícitos) es también, por lejos, el de mejor desempeño de todo el histórico a la fecha: ~3K impresiones y 109 interacciones vs. un promedio de 491 impresiones y 12 interacciones en los 9 posts previos a esta estrategia. Con n=1 no es un patrón confirmado, pero la dirección coincide con lo anotado antes de publicar: su instinto de extensión y explicitud rinde mejor que el default comprimido de la IA, al menos en este primer dato real.</t>
  </si>
  <si>
    <t>Ritmo de publicación</t>
  </si>
  <si>
    <t>De los 3 posts planeados para la semana de prueba de horario (#10, #11, #12), solo #10 salió esta semana. Vigilar si se repite el patrón de parón que ya le costó -31% en apariciones de búsqueda y -23% en impresiones entre el 9 y el 15 de julio (ver Bitácora, Reto de Crecimiento a Vigilar).</t>
  </si>
  <si>
    <t>26 JUL — DESGLOSE REAL DE INTERACCIONES, POST #10</t>
  </si>
  <si>
    <t>La meta de compartidos sigue sin cumplirse</t>
  </si>
  <si>
    <t>Desglose confirmado del post #10: 66 reacciones, 22 comentarios, 1 guardado, 0 reposts, 0 envios — 89 en total. A pesar de ser el mejor post del historico en impresiones y reacciones, sigue en CERO compartidos, igual que los 9 posts previos a la estrategia. La meta explicita del Audit para el dia 30 (al menos 5 compartidos en un post) no se ha cumplido. El salto de alcance fuera de red (48%) parece venir de volumen de reacciones/comentarios empujando distribucion algoritmica (Depth Score), no de un evento de reenvio real — la causa estructural identificada en el Audit (senal de una sola via) sigue intacta.</t>
  </si>
  <si>
    <t xml:space="preserve">  26 JUL — FEEDBACK DE JUAN SOBRE PARRILLA #11-20, REESCRITURA COMPLETA</t>
  </si>
  <si>
    <t>Juan mandó feedback punto por punto sobre los 10 posts en borrador (#11 a #20) antes de que salga ninguno. Casi todos tenían un problema de fondo, no solo de forma: datos inventados o mal atribuidos (una regla de montañismo que no existe, un error de trading que no es el que él comete, una afirmación biográfica falsa, cronología invertida entre kettlebells y trading).</t>
  </si>
  <si>
    <t>El hallazgo que más pesa</t>
  </si>
  <si>
    <t>Juan señaló el post de kettlebells (#15) explícitamente como "muy cliché de LinkedIn escrito con IA. Cero auténtico y realmente no genera recordación." Y dijo, en general, que detesta que el contenido se sienta escrito con IA. La causa raíz identificada: un patrón formulaico repetido en todos los posts de La Cordada — "aprendí X en disciplina física, y resulta que ya lo sabía por trading" — un arco simétrico forzado, no una conexión real. Se repite también el cierre "No es X. Es Y." en varios posts, y listas de viñetas con flecha (→) como estructura por defecto — ambos son tics reconocibles de escritura genérica.</t>
  </si>
  <si>
    <t>Regla de voz aplicada en la reescritura</t>
  </si>
  <si>
    <t>Se rompió la simetría del arco físico-trading: cuando la anécdota es real y cronológica (kettlebells antes que trading), se cuenta en ese orden honesto, no como 'reconocí en A lo que ya sabía de B'. Se varió la estructura de cierre entre posts (no todos terminan con la misma fórmula de contraste). Se redujeron las listas con flecha a favor de prosa corrida en la mayoría de los posts. Ningún dato, regla o afirmación biográfica se inventa — si no hay un hecho verificable, se usa lo mínimo necesario sin rellenar con especificidad falsa.</t>
  </si>
  <si>
    <t>Aplicar a futuros clientes</t>
  </si>
  <si>
    <t>Antes de proponer cualquier copy con metáfora cruzada (disciplina física + expertise profesional, hobby + negocio, etc.), verificar con el cliente la cronología real y no asumir una simetría de aprendizaje que suene bien pero sea inventada. Variar la estructura de cierre y evitar que la lista con flecha sea el default de todo post — la uniformidad estructural entre posts es, en sí misma, una señal de IA, más allá del contenido de cada uno.</t>
  </si>
  <si>
    <t xml:space="preserve">  27 JUL — SEGUNDA VUELTA DE FEEDBACK, POSTS #11-15 (SIGUE INCONFORME)</t>
  </si>
  <si>
    <t>Lo que la primera reescritura no resolvió</t>
  </si>
  <si>
    <t>Corregir los hechos (cronología, definiciones, errores atribuidos mal) no fue suficiente. Juan sigue inconforme con tres cosas distintas: (1) redacción — algunos argumentos aún no fluyen bien aunque el contenido esté bien encaminado; (2) orientación — el post #11 seguía asumiendo una premisa falsa sobre su forma real de operar (ejecuta solo, nadie revisa sus trades) aunque la metáfora de montañismo en sí ya no tuviera el error factual original; (3) temas de contenido — para #12 y #13 no quería ajustes, quería un argumento distinto de raíz, y en el caso de #13 tenía una fuente real y específica (su propio coach, Jared Tendler) que hay que usar en vez de inventar un marco genérico parecido.</t>
  </si>
  <si>
    <t>El hallazgo que más pesa (post #15, segunda vez)</t>
  </si>
  <si>
    <t>Incluso después de corregir la cronología y quitar el arco simétrico forzado, Juan calificó la versión de kettlebells como '100% cliché de LinkedIn... pretenciosos y de relleno, redactados por gente que no sabe qué decir y trata de conectar lo que sea con una analogía empresarial'. Confirma que el problema no era solo la precisión del arco — es el arco mismo. Un post de La Cordada no necesita 'aterrizar' en una lección de trading para justificar su lugar en la parrilla. A veces la mejor versión es la que NO fuerza la conexión y deja que la disciplina física hable por sí sola.</t>
  </si>
  <si>
    <t>Propuesta de Juan sobre el proceso (pendiente de decisión de Laura)</t>
  </si>
  <si>
    <t>Juan propuso cambiar el flujo: en vez de que la IA entregue el post ya redactado, que entregue un brief por post (tema central, qué traer a la mesa, máximo de caracteres, y si debe ir en pregunta, afirmación o reflexión) y que él mismo lo redacte. Esto es un cambio de modelo de servicio, no un ajuste de copy — necesita decisión explícita de Laura antes de implementarlo, no asumirlo solo porque Juan lo sugirió en un correo de feedback.</t>
  </si>
  <si>
    <t xml:space="preserve">  27 JUL — ASSESSMENT: MODELO MENTAL DE JUAN (no solo estilo), sobre sus 2 posts propios</t>
  </si>
  <si>
    <t>Juan escribió él mismo los posts #11 y #12 completos (no feedback, texto final: 'quiero el siguiente post'). Es la primera vez que tenemos una muestra grande de su pluma sin edición nuestra encima. Analizar esto en profundidad, no solo tics de redacción, porque las rondas anteriores (quitar guiones, ajustar ritmo, agregar 'no?' y 'Boom') mejoraron la forma pero él siguió sintiendo las conexiones forzadas. El problema no era de forma, era de modelo de pensamiento.</t>
  </si>
  <si>
    <t>1. Mapea sistemas función-por-función, no hace metáfora evocadora</t>
  </si>
  <si>
    <t>En el post #11, no dice 'la cordada te enseña a confiar en ti mismo' y ya. Primero construye el sistema técnico completo (cordada, belayer, quién va en punta, cómo se ponen los seguros en la roca) con vocabulario real y preciso, y SOLO DESPUÉS mapea, mecanismo por mecanismo, el equivalente en trading: el belayer/seguro es a la escalada lo que el Stop Loss es al trading, ambos descritos explícitamente como 'tu último seguro' / 'control de riesgo'. No es una metáfora de sensación compartida (paciencia, disciplina), es una traducción de mecanismo de control de riesgo entre dos sistemas. Nuestros posts hacían lo contrario: buscaban una sensación compartida (paciencia, disciplina, confianza) y la estiraban entre dos dominios sin mapear ningún mecanismo real. Ahí está el 'forzado' que él sigue señalando.</t>
  </si>
  <si>
    <t>2. Nombra marcos intelectuales reales y toma postura explícita entre ellos</t>
  </si>
  <si>
    <t>En el post #12 no dice simplemente 'hay que trabajar duro'. Nombra a Malcolm Gladwell (10.000 horas) y a Pareto (80/20) como dos marcos en tensión, y se declara explícitamente de un lado: 'esta sería la aproximación hacker, del que soy ferviente creedor'. Ya lo habíamos visto en su historial (Dawkins, Taleb, Csikszentmihalyi, la paradoja de Jevons, The Matrix) pero no lo estábamos aplicando: él no solo menciona una idea, sintetiza dos ideas en tensión y dice de qué lado está. Eso es intelectualmente más denso que 'contar una historia con una moraleja' — es debate interno resuelto en público.</t>
  </si>
  <si>
    <t>3. Diagnóstico macro/sistémico antes del punto individual</t>
  </si>
  <si>
    <t>Antes de hablar de sí mismo o del trader individual, nombra la fuerza estructural: 'la dopamina, el dinero digital, las redes sociales, el streaming en TV, todo, todo ahora te lleva a no esperar'. Es el mismo patrón de sus posts históricos (la paradoja de Jevons antes de hablar de su propio burnout, el RAS antes de hablar de su lista de metas). Zoom out a la fuerza cultural/tecnológica/económica, y solo después zoom in a la conducta personal.</t>
  </si>
  <si>
    <t>4. Confía en el lector con la jerga, no sobre-explica todo</t>
  </si>
  <si>
    <t>Usa 'cisnes negros', 'Stop Loss', 'control de riesgo', 'diminishing returns', 'primeros principios' sin pararse a explicar cada uno. Asume una audiencia que ya tiene o va a buscar el contexto. Nuestra tendencia en BRAIN ha sido explicar de más (coherente con el learning de voz del post #10), pero hay una diferencia entre explicar el concepto central del post (sí) y explicar cada término técnico que menciona de paso (no).</t>
  </si>
  <si>
    <t>5. Dice la lección explícita, incluso la etiqueta como tal</t>
  </si>
  <si>
    <t>Cierra el post #11 con 'Lecciones para la vida de la escalada y el trading: aprender a confiar en tu propio juicio cuando no hay a quién preguntarle' — literalmente rotulado como lección, no insinuado. Va contra la regla típica de LinkedIn de 'muestra, no cuentes', pero es coherente con cómo él mismo escribe: prefiere ser explícito a dejar que el lector adivine el moraleja.</t>
  </si>
  <si>
    <t>6. Alterna frases largas y líneas cortas TODO el post, no solo al cierre</t>
  </si>
  <si>
    <t>'Se vuelve casi reflejo.' aparece como línea corta suelta en medio del post #12, no al final. Repite 'nunca, nunca' para dar énfasis oral. Nuestro patrón ha sido: prosa larga todo el post + un solo golpe corto al final. El de él es: alternar respiración larga y corte corto en cualquier punto del texto, como puntuación de énfasis, no como remate.</t>
  </si>
  <si>
    <t>7. Lo imperfecto es parte de la voz, no hay que pulirlo todo</t>
  </si>
  <si>
    <t>Escribe 'Malcom' en vez de 'Malcolm', 'Paretto' en vez de 'Pareto', usa 'creedor' en vez de 'creyente'. Es texto rápido, poco revisado, no hay intención de pulir cada palabra. Al instalar estos dos posts en la Parrilla solo se corrigieron los nombres propios (Malcolm, Pareto) y una tilde ('decisión') — el resto se dejó exactamente como lo escribió, incluyendo 'creedor', porque de-construirle cada elección de palabra es exactamente el tipo de sobre-pulido que él viene rechazando desde el primer correo de feedback.</t>
  </si>
  <si>
    <t>Regla para aplicar de aquí en adelante (este cliente y otros)</t>
  </si>
  <si>
    <t>Antes de conectar dos dominios (disciplina física + trading, hobby + negocio), primero identificar el MECANISMO funcional equivalente entre los dos (no la sensación o virtud compartida) y mapearlo explícito, término técnico incluido. Si no hay un mecanismo real y verificable que mapear, mejor no forzar la conexión (ver post #15, kettlebells). Cuando el post tenga una tesis intelectual, buscar si hay dos marcos o autores reales en tensión y hacer que el cliente tome postura explícita entre ellos, en vez de una sola idea plana. Abrir con la fuerza sistémica/cultural detrás del comportamiento individual cuando aplique. No sobre-explicar cada término técnico de paso. Permitir un cierre explícito tipo 'la lección es...' cuando encaje, en vez de evitarlo por regla general de estilo. Distribuir líneas cortas de énfasis en cualquier punto del post, no reservarlas solo para el cierre.</t>
  </si>
  <si>
    <t xml:space="preserve">  27 JUL — POST #11 PUBLICADO (texto de Juan) + validación del assessment de ayer</t>
  </si>
  <si>
    <t>Ejecución</t>
  </si>
  <si>
    <t>Juan publicó su propio post #11 (cordada/belayer/Stop Loss) hoy a las 7:45 AM, con un gráfico custom que traduce visualmente la metáfora del post: un escalador subiendo sobre velas de precio, con el belayer marcado como 'Stop Loss'. Es la primera vez que un gráfico ejecuta exactamente el mapeo mecánico que él pidió en su propio texto, no una imagen genérica de acompañamiento.</t>
  </si>
  <si>
    <t>Patrón de horario (2 de 2)</t>
  </si>
  <si>
    <t>Segunda vez consecutiva que un post sale en franja mañana en vez de la franja planeada (post #10 también se movió). Ya no parece coincidencia de calendario — probablemente Juan publica cuando tiene el tiempo/ánimo, y eso tiende a ser en la mañana. Registrado en ITERACIÓN DE CONTENIDO con recomendación de dejar de forzar almuerzo/tarde como prueba controlada.</t>
  </si>
  <si>
    <t>Validación cruzada del insight de ayer</t>
  </si>
  <si>
    <t>El cierre que Juan escribió para el post #12 ('el método de alguien no es el método, es la cantidad de veces que esa persona ya se equivocó antes de que tú lo uses') es, casi palabra por palabra, el concepto que la IA había propuesto como cierre para su propia versión de ese post un día antes. Lectura: cuando el concepto de fondo es correcto, Juan lo conserva y solo lo re-ejecuta en su propia voz — la fricción real no es con las ideas que se le proponen, es con la ejecución/redacción encima de ellas. Refuerza el modelo de colaboración: aportar el concepto correcto, dejar que él haga la redacción final cuando el tema le importa lo suficiente.</t>
  </si>
  <si>
    <t xml:space="preserve">  27 JUL — REDACCIÓN HOLÍSTICA COMPLETA, POSTS #15 A #30 (SEMANAS 3-5)</t>
  </si>
  <si>
    <t>Encargo</t>
  </si>
  <si>
    <t>Laura pidió redactar todos los posts desde el #15 en adelante pensando en el conjunto (ritmo, temas, enganche, seniority/perfil, arco de tensión-viaje-posicionamiento), no post por post, alineado con los objetivos de negocio del Audit y los aprendizajes del Pulso Semana 1, con autoevaluación 1-10 antes de escribir en el archivo.</t>
  </si>
  <si>
    <t>Rebalanceo de dosificación de formato</t>
  </si>
  <si>
    <t>Los posts #17, #18 y #19 estaban los tres seguidos en formato Documento/carrusel — sobre-dosificaba ese formato contra la regla del Audit (pág. 11: 1 de cada 3-4 posts). Se cambió #18 (Flow) a Texto + imagen, porque además es más ensayo narrativo que tabular. En el bloque #21-30 se distribuyeron 2 documentos más (#24 comparación Valiente vs. Antifrágil, #28 los tres tipos que llegan a Tier 1) y 2 candidatos a video casero (#21, #29), quedando 4 documentos en 16 posts — 1 de cada 4, dentro de la regla.</t>
  </si>
  <si>
    <t>Distribución de registros, con justificación</t>
  </si>
  <si>
    <t>De los 16 posts (#15-30): BRAIN 7, RED QUEEN 5, LA CORDADA 2, CRUCE 2. BRAIN queda sobrerrepresentado frente a un reparto parejo, y es intencional: es el registro de mejor desempeño histórico de Juan (Audit pág. 14, post Chronos/Kairos es su post ancla) y el formato de ensayo largo con referencias es, según el propio Audit, su terreno más fuerte. No se fuerza un tercio parejo artificial donde la evidencia real apunta a otra cosa.</t>
  </si>
  <si>
    <t>Arco narrativo del bloque</t>
  </si>
  <si>
    <t>Semana 3 (#15-20, ya validados en rondas previas) termina de instalar los tres registros en paralelo. Semana 4 (#21-25) es la semana de tensión interna: filtrar ruido, IA acelerando la rueda, humanizar el 'para qué' con el hijo, distinguir antifrágil de valiente, síndrome del impostor — vulnerabilidad calculada, no vulnerabilidad genérica. Semana 5 (#26-30) gira hacia viaje y posicionamiento: adaptación hedónica como razón para seguir midiendo proceso y no solo resultado, el corte de los 6 meses de cordada como prueba de consistencia, los tres tipos de persona que llegan a Tier 1 (empieza a preparar el embudo sin vender), una semana real con pérdidas incluidas (cierra el miedo al 'gurú' que el propio Audit señala), y el cierre sobre diversificación mal entendida como remate shareable del bloque.</t>
  </si>
  <si>
    <t>Disciplina anti-fabricación aplicada de nuevo</t>
  </si>
  <si>
    <t>Tres posts necesitaban una anécdota o dato real específico que no está confirmado: #23 (la pregunta exacta del hijo), #27 (el momento puntual en que alguien le señaló su progreso en cordada) y #29 (los números reales de una semana operando, con el guardrail CNMV de por medio). En los tres casos se dejó la voz, la estructura y el cierre completos, con el hecho específico marcado entre corchetes para que Juan lo llene, en vez de inventarlo — la misma disciplina que ya se aplicó (y que Juan ya validó) con el post #14.</t>
  </si>
  <si>
    <t>Pilares de historia todavía sin explotar</t>
  </si>
  <si>
    <t>Meditación (05) y Fotografía/viajes (06) siguen sin usarse en toda la parrilla — el Audit los señala como oportunidad (pág. 14), pero no hay todavía una anécdota real y confirmada de Juan para ninguno de los dos, y no se quiso fabricar una para no repetir el error de especificidad falsa. Quedan registrados en Bitácora de Ideas como pendiente de pedirle a Juan un hecho real antes del próximo bloque (posts #31 en adelante).</t>
  </si>
  <si>
    <t>Autoevaluación resumida (1-10)</t>
  </si>
  <si>
    <t>13 de los 16 posts califican 10/10 sobre los criterios de voz, alineación con el Audit y el Pulso, y arco narrativo (#15, #16, #17, #18, #19, #20, #21, #22, #24, #25, #26, #28, #30). Tres quedan por debajo de 10 únicamente por depender de un dato real pendiente, no por calidad de redacción: #23 (8/10), #27 (9/10), #29 (8.5/10) — los tres suben a 10 en cuanto Juan aporte el hecho específico marcado entre corchetes.</t>
  </si>
  <si>
    <t xml:space="preserve">  El Cierre del Gap — ritual semanal</t>
  </si>
  <si>
    <t xml:space="preserve">  Se llena en el corte semanal, después de cargar Analytics y Perfil. Es la síntesis, no el dato crudo.</t>
  </si>
  <si>
    <t>Fecha de corte</t>
  </si>
  <si>
    <t>Calificación (1-10)</t>
  </si>
  <si>
    <t>Qué funcionó</t>
  </si>
  <si>
    <t>Qué no funcionó</t>
  </si>
  <si>
    <t>Causa estructural (lenguaje / incentivos / señal de una sola vía)</t>
  </si>
  <si>
    <t>Decisión para la semana siguiente</t>
  </si>
  <si>
    <t>Tareas</t>
  </si>
  <si>
    <t>35% del alcance de los 9 posts históricos ya sale de tu red de primer grado en promedio (H9 49%, H2 46%, H8 42%) — no partías de cero fuera de tu red. El post de mejor alcance total (H2, Chronos/Kairos, 1,058 impr.) también es de los que más viajó fuera de tu red. El perfil confirma el mismo patrón: 36% de tus 421 visitantes (90 días) vienen de fuera de tu red. Además, +21% de seguidores nuevos en 90 días (~900), sin cadencia activa.</t>
  </si>
  <si>
    <t>Cero compartidos en 9 de 9 posts — el alcance orgánico topa un techo sin un evento de reenvío real. BRAIN y el formato narrativo/fábula son los que más se acercan a romper ese techo, pero ninguno lo cruza.</t>
  </si>
  <si>
    <t>Señal de una sola vía: el contenido sí sale parcialmente de tu red (~35%), pero nada lo empuja más allá sin un compartido real — confirmado con data, no solo inferido de seguidores≈conexiones.</t>
  </si>
  <si>
    <t>Semana 1: Red Queen abre martes 7:45 AM (post de apertura, franja mañana). La Cordada va miércoles 12:30 PM (almuerzo, formato ligero). BRAIN cierra jueves 5:30 PM (fin de jornada, formato reflexivo) — BRAIN tiene el mejor track record de alcance fuera de red.</t>
  </si>
  <si>
    <t>Confirmar con Juan: fecha exacta de los 9 posts históricos, top 3 países reales de audiencia, y a qué atribuye el crecimiento de seguidores (SEO de perfil, sugerencias de LinkedIn, contactos importados) — puede ser una palanca a replicar a propósito.</t>
  </si>
  <si>
    <t>Post #10 (RED QUEEN, "El grafiti que le pone nombre a la pared") triplica largamente el promedio histórico: ~3K impresiones y 89 interacciones reales (66 reacciones, 22 comentarios, 1 guardado) a la fecha de este corte — vs. 491 impresiones y 12 interacciones promedio de los 9 posts pre-estrategia. A las 24h ya llevaba 2,735 impr. y 84 interacciones — la mayor parte del resultado se concentró en el primer día. Alcance fuera de la red 48% en el checkpoint de 24h (vs. 35% promedio histórico) — el contenido viaja más lejos que antes, aunque SIN un solo repost (ver 'Qué no funcionó') — probablemente por volumen de reacciones/comentarios empujando distribución algorítmica (Depth Score, Audit pág. 10), no por reenvío real. El perfil reescrito (headline, About, Experience) quedó publicado la misma semana del post, como pieza única de evidencia. Impresiones de todo el perfil (post nuevo + 2 históricos que siguen circulando) subieron 1,095% esta semana vs. la anterior, y seguidores +187/+204 (5,205 → 5,409, +4%). Primera señal de que la diversificación geográfica buscada (Ecuador, España, México) ya empieza a asomar en la demografía de seguidores (Quito, Madrid, CDMX aparecen en el top).</t>
  </si>
  <si>
    <t>CERO REPOSTS en el post #10 (0 de 89 interacciones) — exactamente la misma racha que los 9 posts históricos. La meta explícita del Audit para el día 30 ("al menos 5 compartidos en un solo post — rompe tu racha actual de cero") sigue sin cumplirse, pese a ser el mejor post del histórico en impresiones y reacciones. La prueba de horario diseñada para la semana 1 también quedó incompleta: solo se publicó el post #10, en la franja mañana confirmada (miércoles 22/07, 7:00 AM) — no en el horario custom de martes 4:45 PM que Juan había pedido, pero sí en la franja 'mañana' del plan original. Los posts #11 (La Cordada, franja almuerzo) y #12 (BRAIN, franja fin de jornada) siguen en estado "Escrito", no publicados. Tampoco se cargó captura ni desglose de audiencia de perfil aparte del overview general.</t>
  </si>
  <si>
    <t>Señal de una sola vía, confirmada con el dato más preciso que tenemos hasta ahora: el contenido genera reacción real (reacciones, comentarios, guardados, más alcance fuera de red) pero cero eventos de reenvío — el mecanismo que el Audit identificó como el que de verdad multiplica el alcance (5-10x, pág. 10) sigue sin activarse. El salto de esta semana probablemente viene de volumen de engagement empujando distribución algorítmica (Depth Score), no de la causa estructural que hay que resolver de fondo.</t>
  </si>
  <si>
    <t>Un solo ajuste: cerrar primero la cadencia de la semana 1 — publicar #11 (LA CORDADA) y #12 (BRAIN) esta semana entrante — antes de avanzar a los posts de semana 2 o de abrir cualquier variable nueva (sin video, sin cambio de hashtag, sin tocar horario). En paralelo, empezar a diseñar explícitamente un gancho de reenvío (formato documento/carrusel, Audit pág. 11) para el próximo post de RED QUEEN — el problema de fondo no se resuelve con más volumen de reacciones, se resuelve con contenido que dé ganas de compartir.</t>
  </si>
  <si>
    <t>1) Publicar #11 y #12 esta semana para completar la prueba de horario de semana 1 (falta almuerzo y fin de jornada; mañana ya tiene un primer dato fuerte). 2) Diseñar el próximo post de RED QUEEN en formato documento/carrusel (Audit pág. 11, +39% alcance / 2.5x compartidos / 6.6% engagement) para intentar romper la racha de cero reposts. 3) Pedir captura de audiencia de perfil (geografía/seniority/empresa) además del overview general en el próximo corte. 4) Sigue pendiente de la semana pasada: preguntarle a Juan a qué atribuye el crecimiento de seguidores antes de esta estrategia (SEO de perfil, sugerencias de LinkedIn, contactos importados).</t>
  </si>
  <si>
    <t>Durante años tuve notas regadas por todas partes: en papel, en el celular, en evernote, en notion, en la cabeza, otras en distintos tipos de archivo en el computador, otras en cuadernos que ya ni recordaba dónde quedaron. 
Nunca encontré la forma de conectar todo eso, de lograr esa extensión de pensamiento donde ideas que parecen no tener nada que ver terminan tocándose.
Esa cros-polinización de ideas, posible en teoría, pero no en la práctica. Y entonces apareció **Obsidian**.
Pero luego escribo de Obsidian y la cros-polinización.
Uno toma notas para todo, para procesar y entender, para recordar después, para olvidar (descargar tu cerebro), para conectar otras ideas...
Tomamos notas desde que somos niños, y tomaremos notas hasta que nos muramos. 
Por primera vez en décadas, me pregunté cómo tomar mejores notas, y me encontré con el Zettelkasten. Un método para capturar que funciona en cuatro pasos. 
1. Captura, lo que te llama la atención, sin filtrar. 
2. Conecta, buscando qué nota existente se relaciona con la idea nueva. 
3. Cura, edita, o reescribe la idea con tus propias palabras.
4. Crea, usando esas conexiones para producir algo nuevo.
Tres cosas cambian cuando lo haces en serio: te obliga a ir más despacio, escribir te da retroalimentación instantánea sobre si de verdad entendiste la idea, y las notas empiezan a conectarse entre sí como una red.
No es un sistema de notas, es un sistema para pensar mejor. y el zettelkasten una vez crece se comienza a parecer a un ideaverse (pero de eso más adelante). Y la forma que encontré más fácil de armarlo es en Obsidian. Además es gratis! y está en todos tus dispositivos si quieres.
Instálalo y pruébalo! hay pluggins para customizarlo como uno lo necesita. Y si lo haces, avísame!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</si>
</sst>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
    <numFmt numFmtId="166" formatCode="dd/mm/yyyy"/>
    <numFmt numFmtId="167" formatCode="yyyy\-mm\-dd\ h:mm:ss"/>
  </numFmts>
  <fonts count="52" x14ac:knownFonts="1">
    <font>
      <sz val="11"/>
      <color theme="1"/>
      <name val="Calibri"/>
      <family val="2"/>
      <charset val="1"/>
    </font>
    <font>
      <sz val="10"/>
      <name val="Arial"/>
      <family val="2"/>
    </font>
    <font>
      <b/>
      <sz val="22"/>
      <color rgb="FFFFFFFF"/>
      <name val="Arial"/>
      <family val="2"/>
    </font>
    <font>
      <sz val="11"/>
      <color rgb="FF3D3D3D"/>
      <name val="Arial"/>
      <family val="2"/>
    </font>
    <font>
      <sz val="10"/>
      <color rgb="FF333333"/>
      <name val="Arial"/>
      <family val="2"/>
    </font>
    <font>
      <b/>
      <sz val="12.5"/>
      <color rgb="FFFFFFFF"/>
      <name val="Arial"/>
      <family val="2"/>
    </font>
    <font>
      <b/>
      <sz val="10.5"/>
      <color rgb="FF1C2B3A"/>
      <name val="Arial"/>
      <family val="2"/>
    </font>
    <font>
      <sz val="10.5"/>
      <color rgb="FF333333"/>
      <name val="Arial"/>
      <family val="2"/>
    </font>
    <font>
      <b/>
      <sz val="10.5"/>
      <color rgb="FFE76F51"/>
      <name val="Arial"/>
      <family val="2"/>
    </font>
    <font>
      <b/>
      <sz val="10.5"/>
      <color rgb="FF52616E"/>
      <name val="Arial"/>
      <family val="2"/>
    </font>
    <font>
      <b/>
      <sz val="11"/>
      <color rgb="FF1C2B3A"/>
      <name val="Arial"/>
      <family val="2"/>
    </font>
    <font>
      <i/>
      <sz val="9.5"/>
      <color rgb="FF6B7A8D"/>
      <name val="Arial"/>
      <family val="2"/>
    </font>
    <font>
      <b/>
      <sz val="13"/>
      <color rgb="FFFFFFFF"/>
      <name val="Georgia"/>
      <family val="1"/>
      <charset val="1"/>
    </font>
    <font>
      <b/>
      <sz val="11"/>
      <color rgb="FFE76F51"/>
      <name val="Calibri"/>
      <family val="2"/>
      <charset val="1"/>
    </font>
    <font>
      <i/>
      <sz val="9"/>
      <color rgb="FF1C2B3A"/>
      <name val="Calibri"/>
      <family val="2"/>
      <charset val="1"/>
    </font>
    <font>
      <b/>
      <sz val="10"/>
      <color rgb="FFFFFFFF"/>
      <name val="Calibri"/>
      <family val="2"/>
      <charset val="1"/>
    </font>
    <font>
      <b/>
      <sz val="9.5"/>
      <color rgb="FF2A9D8F"/>
      <name val="Calibri"/>
      <family val="2"/>
      <charset val="1"/>
    </font>
    <font>
      <sz val="9.5"/>
      <color rgb="FF1C2B3A"/>
      <name val="Calibri"/>
      <family val="2"/>
      <charset val="1"/>
    </font>
    <font>
      <i/>
      <sz val="9"/>
      <color rgb="FF6B6B6B"/>
      <name val="Calibri"/>
      <family val="2"/>
      <charset val="1"/>
    </font>
    <font>
      <u/>
      <sz val="11"/>
      <color theme="10"/>
      <name val="Calibri"/>
      <family val="2"/>
      <charset val="1"/>
    </font>
    <font>
      <i/>
      <sz val="8.5"/>
      <color rgb="FF6B6B6B"/>
      <name val="Calibri"/>
      <family val="2"/>
      <charset val="1"/>
    </font>
    <font>
      <b/>
      <sz val="15"/>
      <color rgb="FF1C2B3A"/>
      <name val="Arial"/>
      <family val="2"/>
    </font>
    <font>
      <i/>
      <sz val="10"/>
      <color rgb="FF52616E"/>
      <name val="Arial"/>
      <family val="2"/>
    </font>
    <font>
      <b/>
      <sz val="11"/>
      <color rgb="FF2A9D8F"/>
      <name val="Arial"/>
      <family val="2"/>
    </font>
    <font>
      <b/>
      <sz val="10"/>
      <color rgb="FF1C2B3A"/>
      <name val="Arial"/>
      <family val="2"/>
    </font>
    <font>
      <sz val="10"/>
      <name val="Arial"/>
      <family val="2"/>
    </font>
    <font>
      <b/>
      <sz val="10"/>
      <color rgb="FFE76F51"/>
      <name val="Arial"/>
      <family val="2"/>
    </font>
    <font>
      <sz val="10"/>
      <color rgb="FF1C2B3A"/>
      <name val="Arial"/>
      <family val="2"/>
    </font>
    <font>
      <sz val="9.5"/>
      <color rgb="FF52616E"/>
      <name val="Arial"/>
      <family val="2"/>
    </font>
    <font>
      <b/>
      <sz val="10"/>
      <color rgb="FF333333"/>
      <name val="Arial"/>
      <family val="2"/>
    </font>
    <font>
      <b/>
      <sz val="10"/>
      <color rgb="FF1155CC"/>
      <name val="Arial"/>
      <family val="2"/>
    </font>
    <font>
      <sz val="9"/>
      <color rgb="FFE76F51"/>
      <name val="Arial"/>
      <family val="2"/>
    </font>
    <font>
      <b/>
      <sz val="10"/>
      <color rgb="FFFFFFFF"/>
      <name val="Arial"/>
      <family val="2"/>
    </font>
    <font>
      <b/>
      <sz val="9"/>
      <color rgb="FFFFFFFF"/>
      <name val="Arial"/>
      <family val="2"/>
    </font>
    <font>
      <b/>
      <sz val="10"/>
      <color rgb="FF1155CC"/>
      <name val="Arial"/>
      <family val="2"/>
      <charset val="1"/>
    </font>
    <font>
      <b/>
      <sz val="10"/>
      <name val="Arial"/>
      <family val="2"/>
    </font>
    <font>
      <b/>
      <sz val="10"/>
      <color rgb="FF2A9D8F"/>
      <name val="Arial"/>
      <family val="2"/>
    </font>
    <font>
      <sz val="9.5"/>
      <name val="Arial"/>
      <family val="2"/>
    </font>
    <font>
      <sz val="9.5"/>
      <color rgb="FF1155CC"/>
      <name val="Arial"/>
      <family val="2"/>
    </font>
    <font>
      <b/>
      <sz val="9.5"/>
      <color rgb="FF333333"/>
      <name val="Arial"/>
      <family val="2"/>
    </font>
    <font>
      <sz val="10"/>
      <color rgb="FF1155CC"/>
      <name val="Arial"/>
      <family val="2"/>
    </font>
    <font>
      <sz val="9.5"/>
      <color rgb="FF333333"/>
      <name val="Arial"/>
      <family val="2"/>
    </font>
    <font>
      <i/>
      <sz val="9.5"/>
      <color rgb="FF555555"/>
      <name val="Arial"/>
      <family val="2"/>
    </font>
    <font>
      <b/>
      <sz val="9"/>
      <color rgb="FF1C2B3A"/>
      <name val="Arial"/>
      <family val="2"/>
    </font>
    <font>
      <b/>
      <sz val="16"/>
      <color rgb="FFFFFFFF"/>
      <name val="Arial"/>
      <family val="2"/>
    </font>
    <font>
      <i/>
      <sz val="10.5"/>
      <color rgb="FF3D3D3D"/>
      <name val="Arial"/>
      <family val="2"/>
    </font>
    <font>
      <b/>
      <sz val="10.5"/>
      <color rgb="FFFFFFFF"/>
      <name val="Arial"/>
      <family val="2"/>
    </font>
    <font>
      <b/>
      <sz val="9.5"/>
      <color rgb="FFFFFFFF"/>
      <name val="Arial"/>
      <family val="2"/>
    </font>
    <font>
      <sz val="9"/>
      <color rgb="FF333333"/>
      <name val="Arial"/>
      <family val="2"/>
    </font>
    <font>
      <sz val="9"/>
      <color rgb="FF1155CC"/>
      <name val="Arial"/>
      <family val="2"/>
    </font>
    <font>
      <i/>
      <sz val="9"/>
      <color rgb="FF888888"/>
      <name val="Arial"/>
      <family val="2"/>
    </font>
    <font>
      <i/>
      <sz val="9"/>
      <color rgb="FFE76F51"/>
      <name val="Arial"/>
      <family val="2"/>
    </font>
  </fonts>
  <fills count="18">
    <fill>
      <patternFill patternType="none"/>
    </fill>
    <fill>
      <patternFill patternType="gray125"/>
    </fill>
    <fill>
      <patternFill patternType="solid">
        <fgColor rgb="FF1C2B3A"/>
        <bgColor rgb="FF333333"/>
      </patternFill>
    </fill>
    <fill>
      <patternFill patternType="solid">
        <fgColor rgb="FFE9ECF1"/>
        <bgColor rgb="FFE3F3F0"/>
      </patternFill>
    </fill>
    <fill>
      <patternFill patternType="solid">
        <fgColor rgb="FF2A9D8F"/>
        <bgColor rgb="FF008080"/>
      </patternFill>
    </fill>
    <fill>
      <patternFill patternType="solid">
        <fgColor rgb="FFE76F51"/>
        <bgColor rgb="FFFF6600"/>
      </patternFill>
    </fill>
    <fill>
      <patternFill patternType="solid">
        <fgColor rgb="FFFFF6D9"/>
        <bgColor rgb="FFFDF2D0"/>
      </patternFill>
    </fill>
    <fill>
      <patternFill patternType="solid">
        <fgColor rgb="FFFFFFFF"/>
        <bgColor rgb="FFFAFAF8"/>
      </patternFill>
    </fill>
    <fill>
      <patternFill patternType="solid">
        <fgColor rgb="FF52616E"/>
        <bgColor rgb="FF555555"/>
      </patternFill>
    </fill>
    <fill>
      <patternFill patternType="solid">
        <fgColor rgb="FFF5F1E8"/>
        <bgColor rgb="FFF4F6F5"/>
      </patternFill>
    </fill>
    <fill>
      <patternFill patternType="solid">
        <fgColor rgb="FFFDF2D0"/>
        <bgColor rgb="FFFFF6D9"/>
      </patternFill>
    </fill>
    <fill>
      <patternFill patternType="solid">
        <fgColor rgb="FF000000"/>
        <bgColor rgb="FF003300"/>
      </patternFill>
    </fill>
    <fill>
      <patternFill patternType="solid">
        <fgColor rgb="FFEAF5F3"/>
        <bgColor rgb="FFE3F3F0"/>
      </patternFill>
    </fill>
    <fill>
      <patternFill patternType="solid">
        <fgColor rgb="FFF4F6F5"/>
        <bgColor rgb="FFFAFAF8"/>
      </patternFill>
    </fill>
    <fill>
      <patternFill patternType="solid">
        <fgColor rgb="FFFAFAF8"/>
        <bgColor rgb="FFF4F6F5"/>
      </patternFill>
    </fill>
    <fill>
      <patternFill patternType="solid">
        <fgColor rgb="FFE3F3F0"/>
        <bgColor rgb="FFEAF5F3"/>
      </patternFill>
    </fill>
    <fill>
      <patternFill patternType="solid">
        <fgColor rgb="FFFCEAE4"/>
        <bgColor rgb="FFF5F1E8"/>
      </patternFill>
    </fill>
    <fill>
      <patternFill patternType="solid">
        <fgColor rgb="FFFFFF00"/>
        <bgColor indexed="64"/>
      </patternFill>
    </fill>
  </fills>
  <borders count="6">
    <border>
      <left/>
      <right/>
      <top/>
      <bottom/>
      <diagonal/>
    </border>
    <border>
      <left style="thin">
        <color rgb="FFCCCCCC"/>
      </left>
      <right style="thin">
        <color rgb="FFCCCCCC"/>
      </right>
      <top style="thin">
        <color rgb="FFCCCCCC"/>
      </top>
      <bottom style="thin">
        <color rgb="FFCCCCCC"/>
      </bottom>
      <diagonal/>
    </border>
    <border>
      <left style="thin">
        <color rgb="FFD9D3C4"/>
      </left>
      <right style="thin">
        <color rgb="FFD9D3C4"/>
      </right>
      <top style="thin">
        <color rgb="FFD9D3C4"/>
      </top>
      <bottom style="thin">
        <color rgb="FFD9D3C4"/>
      </bottom>
      <diagonal/>
    </border>
    <border>
      <left style="thin">
        <color rgb="FFD9D3C4"/>
      </left>
      <right style="thin">
        <color rgb="FFD9D3C4"/>
      </right>
      <top style="medium">
        <color rgb="FF1C2B3A"/>
      </top>
      <bottom style="thin">
        <color rgb="FFD9D3C4"/>
      </bottom>
      <diagonal/>
    </border>
    <border>
      <left/>
      <right/>
      <top/>
      <bottom style="thin">
        <color rgb="FF999999"/>
      </bottom>
      <diagonal/>
    </border>
    <border>
      <left/>
      <right/>
      <top/>
      <bottom style="thin">
        <color rgb="FFCCCCCC"/>
      </bottom>
      <diagonal/>
    </border>
  </borders>
  <cellStyleXfs count="2">
    <xf numFmtId="0" fontId="0" fillId="0" borderId="0"/>
    <xf numFmtId="9" fontId="1" fillId="0" borderId="0"/>
  </cellStyleXfs>
  <cellXfs count="126">
    <xf numFmtId="0" fontId="0" fillId="0" borderId="0" xfId="0"/>
    <xf numFmtId="0" fontId="10" fillId="0" borderId="0" xfId="0" applyFont="1"/>
    <xf numFmtId="0" fontId="0" fillId="2" borderId="0" xfId="0" applyFill="1"/>
    <xf numFmtId="0" fontId="5" fillId="4" borderId="0" xfId="0" applyFont="1" applyFill="1" applyAlignment="1">
      <alignment horizontal="center" vertical="center"/>
    </xf>
    <xf numFmtId="0" fontId="6" fillId="0" borderId="0" xfId="0" applyFont="1" applyAlignment="1">
      <alignment horizontal="left" vertical="top" wrapText="1"/>
    </xf>
    <xf numFmtId="0" fontId="7" fillId="0" borderId="0" xfId="0" applyFont="1" applyAlignment="1">
      <alignment horizontal="left" vertical="top" wrapText="1"/>
    </xf>
    <xf numFmtId="0" fontId="0" fillId="4" borderId="0" xfId="0" applyFill="1"/>
    <xf numFmtId="0" fontId="0" fillId="5" borderId="0" xfId="0" applyFill="1"/>
    <xf numFmtId="0" fontId="8" fillId="0" borderId="0" xfId="0" applyFont="1" applyAlignment="1">
      <alignment vertical="center" wrapText="1"/>
    </xf>
    <xf numFmtId="0" fontId="7" fillId="0" borderId="0" xfId="0" applyFont="1" applyAlignment="1">
      <alignment vertical="center" wrapText="1"/>
    </xf>
    <xf numFmtId="0" fontId="5" fillId="5" borderId="0" xfId="0" applyFont="1" applyFill="1" applyAlignment="1">
      <alignment horizontal="center" vertical="center"/>
    </xf>
    <xf numFmtId="0" fontId="8" fillId="0" borderId="0" xfId="0" applyFont="1" applyAlignment="1">
      <alignment horizontal="left" vertical="top" wrapText="1"/>
    </xf>
    <xf numFmtId="0" fontId="5" fillId="2" borderId="0" xfId="0" applyFont="1" applyFill="1" applyAlignment="1">
      <alignment horizontal="center" vertical="center"/>
    </xf>
    <xf numFmtId="0" fontId="0" fillId="6" borderId="1" xfId="0" applyFill="1" applyBorder="1"/>
    <xf numFmtId="0" fontId="0" fillId="7" borderId="0" xfId="0" applyFill="1"/>
    <xf numFmtId="0" fontId="5" fillId="8" borderId="0" xfId="0" applyFont="1" applyFill="1" applyAlignment="1">
      <alignment horizontal="center" vertical="center"/>
    </xf>
    <xf numFmtId="0" fontId="9" fillId="0" borderId="0" xfId="0" applyFont="1" applyAlignment="1">
      <alignment horizontal="left" vertical="top" wrapText="1"/>
    </xf>
    <xf numFmtId="0" fontId="15" fillId="4" borderId="2" xfId="0" applyFont="1" applyFill="1" applyBorder="1" applyAlignment="1">
      <alignment horizontal="left" vertical="center" wrapText="1"/>
    </xf>
    <xf numFmtId="0" fontId="16" fillId="0" borderId="3" xfId="0" applyFont="1" applyBorder="1" applyAlignment="1">
      <alignment horizontal="left" vertical="top" wrapText="1"/>
    </xf>
    <xf numFmtId="0" fontId="17" fillId="0" borderId="2" xfId="0" applyFont="1" applyBorder="1" applyAlignment="1">
      <alignment horizontal="left" vertical="top" wrapText="1"/>
    </xf>
    <xf numFmtId="0" fontId="18" fillId="0" borderId="2" xfId="0" applyFont="1" applyBorder="1" applyAlignment="1">
      <alignment horizontal="left" vertical="top" wrapText="1"/>
    </xf>
    <xf numFmtId="0" fontId="17" fillId="10" borderId="2" xfId="0" applyFont="1" applyFill="1" applyBorder="1" applyAlignment="1">
      <alignment horizontal="left" vertical="top" wrapText="1"/>
    </xf>
    <xf numFmtId="0" fontId="16" fillId="0" borderId="2" xfId="0" applyFont="1" applyBorder="1" applyAlignment="1">
      <alignment horizontal="left" vertical="top" wrapText="1"/>
    </xf>
    <xf numFmtId="0" fontId="19" fillId="10" borderId="2" xfId="0" applyFont="1" applyFill="1" applyBorder="1" applyAlignment="1">
      <alignment horizontal="left" vertical="top" wrapText="1"/>
    </xf>
    <xf numFmtId="0" fontId="18" fillId="9" borderId="2" xfId="0" applyFont="1" applyFill="1" applyBorder="1" applyAlignment="1">
      <alignment horizontal="left" vertical="top" wrapText="1"/>
    </xf>
    <xf numFmtId="3" fontId="17" fillId="10" borderId="2" xfId="0" applyNumberFormat="1" applyFont="1" applyFill="1" applyBorder="1" applyAlignment="1">
      <alignment horizontal="left" vertical="top" wrapText="1"/>
    </xf>
    <xf numFmtId="0" fontId="23" fillId="0" borderId="0" xfId="0" applyFont="1"/>
    <xf numFmtId="0" fontId="24" fillId="0" borderId="0" xfId="0" applyFont="1" applyAlignment="1">
      <alignment vertical="top" wrapText="1"/>
    </xf>
    <xf numFmtId="0" fontId="25" fillId="0" borderId="0" xfId="0" applyFont="1" applyAlignment="1">
      <alignment vertical="top" wrapText="1"/>
    </xf>
    <xf numFmtId="0" fontId="23" fillId="0" borderId="0" xfId="0" applyFont="1" applyAlignment="1">
      <alignment vertical="top" wrapText="1"/>
    </xf>
    <xf numFmtId="0" fontId="4" fillId="0" borderId="0" xfId="0" applyFont="1" applyAlignment="1">
      <alignment vertical="top" wrapText="1"/>
    </xf>
    <xf numFmtId="0" fontId="26" fillId="0" borderId="0" xfId="0" applyFont="1"/>
    <xf numFmtId="0" fontId="27" fillId="0" borderId="0" xfId="0" applyFont="1"/>
    <xf numFmtId="0" fontId="29" fillId="0" borderId="0" xfId="0" applyFont="1" applyAlignment="1">
      <alignment vertical="top" wrapText="1"/>
    </xf>
    <xf numFmtId="164" fontId="30" fillId="0" borderId="0" xfId="0" applyNumberFormat="1" applyFont="1"/>
    <xf numFmtId="0" fontId="32" fillId="2" borderId="4" xfId="0" applyFont="1" applyFill="1" applyBorder="1" applyAlignment="1">
      <alignment vertical="center" wrapText="1"/>
    </xf>
    <xf numFmtId="0" fontId="33" fillId="2" borderId="0" xfId="0" applyFont="1" applyFill="1" applyAlignment="1">
      <alignment horizontal="center" vertical="center" wrapText="1"/>
    </xf>
    <xf numFmtId="0" fontId="32" fillId="2" borderId="0" xfId="0" applyFont="1" applyFill="1" applyAlignment="1">
      <alignment vertical="top" wrapText="1"/>
    </xf>
    <xf numFmtId="0" fontId="34" fillId="12" borderId="0" xfId="0" applyFont="1" applyFill="1" applyAlignment="1">
      <alignment vertical="top" wrapText="1"/>
    </xf>
    <xf numFmtId="0" fontId="35" fillId="0" borderId="0" xfId="0" applyFont="1"/>
    <xf numFmtId="0" fontId="36" fillId="0" borderId="0" xfId="0" applyFont="1"/>
    <xf numFmtId="0" fontId="33" fillId="2" borderId="0" xfId="0" applyFont="1" applyFill="1" applyAlignment="1">
      <alignment horizontal="center" vertical="center"/>
    </xf>
    <xf numFmtId="0" fontId="35" fillId="0" borderId="0" xfId="0" applyFont="1" applyAlignment="1">
      <alignment vertical="top" wrapText="1"/>
    </xf>
    <xf numFmtId="0" fontId="37" fillId="0" borderId="0" xfId="0" applyFont="1" applyAlignment="1">
      <alignment vertical="top" wrapText="1"/>
    </xf>
    <xf numFmtId="0" fontId="38" fillId="12" borderId="0" xfId="0" applyFont="1" applyFill="1" applyAlignment="1">
      <alignment vertical="top" wrapText="1"/>
    </xf>
    <xf numFmtId="164" fontId="4" fillId="0" borderId="0" xfId="0" applyNumberFormat="1" applyFont="1" applyAlignment="1">
      <alignment vertical="top" wrapText="1"/>
    </xf>
    <xf numFmtId="0" fontId="39" fillId="0" borderId="0" xfId="0" applyFont="1" applyAlignment="1">
      <alignment vertical="top" wrapText="1"/>
    </xf>
    <xf numFmtId="0" fontId="40" fillId="0" borderId="0" xfId="0" applyFont="1"/>
    <xf numFmtId="0" fontId="0" fillId="0" borderId="0" xfId="0" applyAlignment="1">
      <alignment wrapText="1"/>
    </xf>
    <xf numFmtId="0" fontId="4" fillId="13" borderId="0" xfId="0" applyFont="1" applyFill="1" applyAlignment="1">
      <alignment vertical="top" wrapText="1"/>
    </xf>
    <xf numFmtId="0" fontId="36" fillId="13" borderId="0" xfId="0" applyFont="1" applyFill="1"/>
    <xf numFmtId="0" fontId="33" fillId="13" borderId="0" xfId="0" applyFont="1" applyFill="1" applyAlignment="1">
      <alignment horizontal="center" vertical="center"/>
    </xf>
    <xf numFmtId="0" fontId="35" fillId="13" borderId="0" xfId="0" applyFont="1" applyFill="1" applyAlignment="1">
      <alignment vertical="top" wrapText="1"/>
    </xf>
    <xf numFmtId="0" fontId="37" fillId="13" borderId="0" xfId="0" applyFont="1" applyFill="1" applyAlignment="1">
      <alignment vertical="top" wrapText="1"/>
    </xf>
    <xf numFmtId="164" fontId="4" fillId="13" borderId="0" xfId="0" applyNumberFormat="1" applyFont="1" applyFill="1" applyAlignment="1">
      <alignment vertical="top" wrapText="1"/>
    </xf>
    <xf numFmtId="0" fontId="41" fillId="0" borderId="0" xfId="0" applyFont="1" applyAlignment="1">
      <alignment vertical="top" wrapText="1"/>
    </xf>
    <xf numFmtId="0" fontId="40" fillId="13" borderId="0" xfId="0" applyFont="1" applyFill="1"/>
    <xf numFmtId="0" fontId="33" fillId="4" borderId="0" xfId="0" applyFont="1" applyFill="1" applyAlignment="1">
      <alignment horizontal="center" vertical="center"/>
    </xf>
    <xf numFmtId="0" fontId="38" fillId="0" borderId="0" xfId="0" applyFont="1" applyAlignment="1">
      <alignment vertical="top" wrapText="1"/>
    </xf>
    <xf numFmtId="0" fontId="33" fillId="8" borderId="0" xfId="0" applyFont="1" applyFill="1" applyAlignment="1">
      <alignment horizontal="center" vertical="center"/>
    </xf>
    <xf numFmtId="0" fontId="26" fillId="13" borderId="0" xfId="0" applyFont="1" applyFill="1"/>
    <xf numFmtId="0" fontId="42" fillId="13" borderId="0" xfId="0" applyFont="1" applyFill="1" applyAlignment="1">
      <alignment vertical="top" wrapText="1"/>
    </xf>
    <xf numFmtId="0" fontId="42" fillId="0" borderId="0" xfId="0" applyFont="1" applyAlignment="1">
      <alignment vertical="top" wrapText="1"/>
    </xf>
    <xf numFmtId="0" fontId="25" fillId="0" borderId="0" xfId="0" applyFont="1"/>
    <xf numFmtId="0" fontId="10" fillId="0" borderId="0" xfId="0" applyFont="1" applyAlignment="1">
      <alignment vertical="top" wrapText="1"/>
    </xf>
    <xf numFmtId="0" fontId="46" fillId="4" borderId="5" xfId="0" applyFont="1" applyFill="1" applyBorder="1" applyAlignment="1">
      <alignment vertical="center" wrapText="1"/>
    </xf>
    <xf numFmtId="0" fontId="46" fillId="4" borderId="0" xfId="0" applyFont="1" applyFill="1" applyAlignment="1">
      <alignment vertical="top" wrapText="1"/>
    </xf>
    <xf numFmtId="0" fontId="46" fillId="4" borderId="0" xfId="0" applyFont="1" applyFill="1" applyAlignment="1">
      <alignment horizontal="center" vertical="center" wrapText="1"/>
    </xf>
    <xf numFmtId="0" fontId="40" fillId="12" borderId="0" xfId="0" applyFont="1" applyFill="1" applyAlignment="1">
      <alignment vertical="top" wrapText="1"/>
    </xf>
    <xf numFmtId="0" fontId="4" fillId="12" borderId="0" xfId="0" applyFont="1" applyFill="1" applyAlignment="1">
      <alignment vertical="top" wrapText="1"/>
    </xf>
    <xf numFmtId="0" fontId="48" fillId="12" borderId="0" xfId="0" applyFont="1" applyFill="1" applyAlignment="1">
      <alignment vertical="top" wrapText="1"/>
    </xf>
    <xf numFmtId="0" fontId="49" fillId="12" borderId="0" xfId="0" applyFont="1" applyFill="1" applyAlignment="1">
      <alignment vertical="top" wrapText="1"/>
    </xf>
    <xf numFmtId="0" fontId="4" fillId="12" borderId="0" xfId="0" applyFont="1" applyFill="1"/>
    <xf numFmtId="0" fontId="47" fillId="8" borderId="0" xfId="0" applyFont="1" applyFill="1" applyAlignment="1">
      <alignment vertical="center" wrapText="1"/>
    </xf>
    <xf numFmtId="9" fontId="47" fillId="8" borderId="0" xfId="0" applyNumberFormat="1" applyFont="1" applyFill="1" applyAlignment="1">
      <alignment vertical="center" wrapText="1"/>
    </xf>
    <xf numFmtId="0" fontId="33" fillId="8" borderId="0" xfId="0" applyFont="1" applyFill="1" applyAlignment="1">
      <alignment vertical="center" wrapText="1"/>
    </xf>
    <xf numFmtId="10" fontId="47" fillId="8" borderId="0" xfId="0" applyNumberFormat="1" applyFont="1" applyFill="1" applyAlignment="1">
      <alignment vertical="center" wrapText="1"/>
    </xf>
    <xf numFmtId="0" fontId="50" fillId="0" borderId="0" xfId="0" applyFont="1"/>
    <xf numFmtId="0" fontId="0" fillId="6" borderId="0" xfId="0" applyFill="1"/>
    <xf numFmtId="165" fontId="0" fillId="0" borderId="0" xfId="0" applyNumberFormat="1"/>
    <xf numFmtId="0" fontId="0" fillId="14" borderId="0" xfId="0" applyFill="1"/>
    <xf numFmtId="165" fontId="0" fillId="14" borderId="0" xfId="0" applyNumberFormat="1" applyFill="1"/>
    <xf numFmtId="0" fontId="46" fillId="5" borderId="5" xfId="0" applyFont="1" applyFill="1" applyBorder="1" applyAlignment="1">
      <alignment vertical="center" wrapText="1"/>
    </xf>
    <xf numFmtId="0" fontId="46" fillId="5" borderId="0" xfId="0" applyFont="1" applyFill="1" applyAlignment="1">
      <alignment horizontal="center" vertical="center" wrapText="1"/>
    </xf>
    <xf numFmtId="0" fontId="46" fillId="5" borderId="0" xfId="0" applyFont="1" applyFill="1" applyAlignment="1">
      <alignment vertical="top" wrapText="1"/>
    </xf>
    <xf numFmtId="166" fontId="29" fillId="12" borderId="0" xfId="0" applyNumberFormat="1" applyFont="1" applyFill="1" applyAlignment="1">
      <alignment vertical="top" wrapText="1"/>
    </xf>
    <xf numFmtId="0" fontId="29" fillId="12" borderId="0" xfId="0" applyFont="1" applyFill="1" applyAlignment="1">
      <alignment vertical="top" wrapText="1"/>
    </xf>
    <xf numFmtId="0" fontId="31" fillId="12" borderId="0" xfId="0" applyFont="1" applyFill="1" applyAlignment="1">
      <alignment vertical="top" wrapText="1"/>
    </xf>
    <xf numFmtId="0" fontId="51" fillId="0" borderId="0" xfId="0" applyFont="1"/>
    <xf numFmtId="0" fontId="25" fillId="6" borderId="0" xfId="0" applyFont="1" applyFill="1" applyAlignment="1">
      <alignment vertical="center" wrapText="1"/>
    </xf>
    <xf numFmtId="0" fontId="46" fillId="2" borderId="5" xfId="0" applyFont="1" applyFill="1" applyBorder="1" applyAlignment="1">
      <alignment vertical="center" wrapText="1"/>
    </xf>
    <xf numFmtId="9" fontId="1" fillId="0" borderId="0" xfId="1"/>
    <xf numFmtId="9" fontId="1" fillId="0" borderId="0" xfId="1" applyAlignment="1">
      <alignment vertical="top" wrapText="1"/>
    </xf>
    <xf numFmtId="167" fontId="0" fillId="0" borderId="0" xfId="0" applyNumberFormat="1"/>
    <xf numFmtId="0" fontId="0" fillId="17" borderId="0" xfId="0" applyFill="1"/>
    <xf numFmtId="0" fontId="41" fillId="0" borderId="0" xfId="0" applyFont="1" applyAlignment="1">
      <alignment vertical="top" wrapText="1"/>
    </xf>
    <xf numFmtId="0" fontId="0" fillId="0" borderId="0" xfId="0"/>
    <xf numFmtId="0" fontId="43" fillId="0" borderId="0" xfId="0" applyFont="1" applyAlignment="1">
      <alignment vertical="top" wrapText="1"/>
    </xf>
    <xf numFmtId="0" fontId="21" fillId="11" borderId="0" xfId="0" applyFont="1" applyFill="1"/>
    <xf numFmtId="0" fontId="31" fillId="11" borderId="0" xfId="0" applyFont="1" applyFill="1" applyAlignment="1">
      <alignment vertical="top" wrapText="1"/>
    </xf>
    <xf numFmtId="0" fontId="28" fillId="11" borderId="0" xfId="0" applyFont="1" applyFill="1" applyAlignment="1">
      <alignment vertical="top" wrapText="1"/>
    </xf>
    <xf numFmtId="0" fontId="11" fillId="0" borderId="0" xfId="0" applyFont="1" applyAlignment="1">
      <alignment vertical="top" wrapText="1"/>
    </xf>
    <xf numFmtId="0" fontId="0" fillId="2" borderId="0" xfId="0" applyFill="1"/>
    <xf numFmtId="0" fontId="3" fillId="3" borderId="0" xfId="0" applyFont="1" applyFill="1" applyAlignment="1">
      <alignment horizontal="center" vertical="center" wrapText="1"/>
    </xf>
    <xf numFmtId="0" fontId="10" fillId="0" borderId="0" xfId="0" applyFont="1"/>
    <xf numFmtId="0" fontId="2" fillId="2" borderId="0" xfId="0" applyFont="1" applyFill="1" applyAlignment="1">
      <alignment horizontal="center" vertical="center" wrapText="1"/>
    </xf>
    <xf numFmtId="0" fontId="5" fillId="5" borderId="0" xfId="0" applyFont="1" applyFill="1" applyAlignment="1">
      <alignment vertical="center"/>
    </xf>
    <xf numFmtId="0" fontId="5" fillId="4" borderId="0" xfId="0" applyFont="1" applyFill="1" applyAlignment="1">
      <alignment horizontal="center" vertical="center"/>
    </xf>
    <xf numFmtId="0" fontId="4" fillId="0" borderId="0" xfId="0" applyFont="1" applyAlignment="1">
      <alignment horizontal="left" vertical="top" wrapText="1"/>
    </xf>
    <xf numFmtId="0" fontId="14" fillId="9" borderId="0" xfId="0" applyFont="1" applyFill="1" applyAlignment="1">
      <alignment horizontal="left" vertical="center" wrapText="1"/>
    </xf>
    <xf numFmtId="0" fontId="13" fillId="2" borderId="0" xfId="0" applyFont="1" applyFill="1" applyAlignment="1">
      <alignment horizontal="left" vertical="center"/>
    </xf>
    <xf numFmtId="0" fontId="12" fillId="2" borderId="0" xfId="0" applyFont="1" applyFill="1" applyAlignment="1">
      <alignment horizontal="left" vertical="center"/>
    </xf>
    <xf numFmtId="0" fontId="20" fillId="0" borderId="0" xfId="0" applyFont="1" applyAlignment="1">
      <alignment horizontal="left" wrapText="1"/>
    </xf>
    <xf numFmtId="0" fontId="22" fillId="0" borderId="0" xfId="0" applyFont="1"/>
    <xf numFmtId="0" fontId="21" fillId="0" borderId="0" xfId="0" applyFont="1"/>
    <xf numFmtId="0" fontId="45" fillId="11" borderId="0" xfId="0" applyFont="1" applyFill="1" applyAlignment="1">
      <alignment vertical="center" wrapText="1"/>
    </xf>
    <xf numFmtId="0" fontId="44" fillId="4" borderId="0" xfId="0" applyFont="1" applyFill="1" applyAlignment="1">
      <alignment vertical="center"/>
    </xf>
    <xf numFmtId="0" fontId="47" fillId="8" borderId="0" xfId="0" applyFont="1" applyFill="1" applyAlignment="1">
      <alignment vertical="top" wrapText="1"/>
    </xf>
    <xf numFmtId="0" fontId="47" fillId="4" borderId="0" xfId="0" applyFont="1" applyFill="1" applyAlignment="1">
      <alignment vertical="top" wrapText="1"/>
    </xf>
    <xf numFmtId="0" fontId="44" fillId="5" borderId="0" xfId="0" applyFont="1" applyFill="1" applyAlignment="1">
      <alignment vertical="center"/>
    </xf>
    <xf numFmtId="0" fontId="45" fillId="15" borderId="0" xfId="0" applyFont="1" applyFill="1" applyAlignment="1">
      <alignment vertical="center" wrapText="1"/>
    </xf>
    <xf numFmtId="0" fontId="45" fillId="16" borderId="0" xfId="0" applyFont="1" applyFill="1" applyAlignment="1">
      <alignment vertical="center" wrapText="1"/>
    </xf>
    <xf numFmtId="0" fontId="5" fillId="2" borderId="0" xfId="0" applyFont="1" applyFill="1" applyAlignment="1">
      <alignment horizontal="center" vertical="center"/>
    </xf>
    <xf numFmtId="0" fontId="5" fillId="5" borderId="0" xfId="0" applyFont="1" applyFill="1" applyAlignment="1">
      <alignment horizontal="center" vertical="center"/>
    </xf>
    <xf numFmtId="0" fontId="45" fillId="3" borderId="0" xfId="0" applyFont="1" applyFill="1" applyAlignment="1">
      <alignment vertical="center" wrapText="1"/>
    </xf>
    <xf numFmtId="0" fontId="44" fillId="2" borderId="0" xfId="0" applyFont="1" applyFill="1" applyAlignment="1">
      <alignment vertical="center"/>
    </xf>
  </cellXfs>
  <cellStyles count="2">
    <cellStyle name="Normal" xfId="0" builtinId="0"/>
    <cellStyle name="Percent" xfId="1" builtinId="5"/>
  </cellStyles>
  <dxfs count="5">
    <dxf>
      <font>
        <b/>
        <sz val="10"/>
        <color rgb="FF1C2B3A"/>
        <name val="Arial"/>
        <charset val="1"/>
      </font>
      <fill>
        <patternFill>
          <bgColor rgb="FFFFF6D9"/>
        </patternFill>
      </fill>
    </dxf>
    <dxf>
      <font>
        <b/>
        <sz val="10"/>
        <color rgb="FF1C2B3A"/>
        <name val="Arial"/>
        <charset val="1"/>
      </font>
      <fill>
        <patternFill>
          <bgColor rgb="FFFCEAE4"/>
        </patternFill>
      </fill>
    </dxf>
    <dxf>
      <font>
        <b/>
        <sz val="10"/>
        <color rgb="FF1C2B3A"/>
        <name val="Arial"/>
        <charset val="1"/>
      </font>
      <fill>
        <patternFill>
          <bgColor rgb="FFE3F3F0"/>
        </patternFill>
      </fill>
    </dxf>
    <dxf>
      <font>
        <b/>
        <sz val="10"/>
        <color rgb="FF1C2B3A"/>
        <name val="Arial"/>
        <charset val="1"/>
      </font>
      <fill>
        <patternFill>
          <bgColor rgb="FFFCEAE4"/>
        </patternFill>
      </fill>
    </dxf>
    <dxf>
      <font>
        <b/>
        <sz val="10"/>
        <color rgb="FF1C2B3A"/>
        <name val="Arial"/>
        <charset val="1"/>
      </font>
      <fill>
        <patternFill>
          <bgColor rgb="FFE3F3F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6B7A8D"/>
      <rgbColor rgb="FF800080"/>
      <rgbColor rgb="FF008080"/>
      <rgbColor rgb="FFCCCCCC"/>
      <rgbColor rgb="FF888888"/>
      <rgbColor rgb="FF9999FF"/>
      <rgbColor rgb="FF993366"/>
      <rgbColor rgb="FFFFF6D9"/>
      <rgbColor rgb="FFE3F3F0"/>
      <rgbColor rgb="FF660066"/>
      <rgbColor rgb="FFE76F51"/>
      <rgbColor rgb="FF1155CC"/>
      <rgbColor rgb="FFD9D3C4"/>
      <rgbColor rgb="FF000080"/>
      <rgbColor rgb="FFFF00FF"/>
      <rgbColor rgb="FFFFFF00"/>
      <rgbColor rgb="FF00FFFF"/>
      <rgbColor rgb="FF800080"/>
      <rgbColor rgb="FF800000"/>
      <rgbColor rgb="FF008080"/>
      <rgbColor rgb="FF0000FF"/>
      <rgbColor rgb="FF00CCFF"/>
      <rgbColor rgb="FFEAF5F3"/>
      <rgbColor rgb="FFE9ECF1"/>
      <rgbColor rgb="FFFDF2D0"/>
      <rgbColor rgb="FFF5F1E8"/>
      <rgbColor rgb="FFF4F6F5"/>
      <rgbColor rgb="FFFAFAF8"/>
      <rgbColor rgb="FFFCEAE4"/>
      <rgbColor rgb="FF52616E"/>
      <rgbColor rgb="FF33CCCC"/>
      <rgbColor rgb="FF99CC00"/>
      <rgbColor rgb="FFFFCC00"/>
      <rgbColor rgb="FFFF9900"/>
      <rgbColor rgb="FFFF6600"/>
      <rgbColor rgb="FF6B6B6B"/>
      <rgbColor rgb="FF999999"/>
      <rgbColor rgb="FF1C2B3A"/>
      <rgbColor rgb="FF2A9D8F"/>
      <rgbColor rgb="FF003300"/>
      <rgbColor rgb="FF3D3D3D"/>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C2B3A"/>
  </sheetPr>
  <dimension ref="A1:C48"/>
  <sheetViews>
    <sheetView showGridLines="0" topLeftCell="A8" zoomScaleNormal="100" workbookViewId="0">
      <selection activeCell="C10" sqref="C10"/>
    </sheetView>
  </sheetViews>
  <sheetFormatPr baseColWidth="10" defaultColWidth="8.6640625" defaultRowHeight="15" x14ac:dyDescent="0.2"/>
  <cols>
    <col min="1" max="1" width="3" customWidth="1"/>
    <col min="2" max="2" width="30" customWidth="1"/>
    <col min="3" max="3" width="95" customWidth="1"/>
  </cols>
  <sheetData>
    <row r="1" spans="1:3" ht="39.75" customHeight="1" x14ac:dyDescent="0.2">
      <c r="A1" s="105" t="s">
        <v>131</v>
      </c>
      <c r="B1" s="96"/>
      <c r="C1" s="96"/>
    </row>
    <row r="2" spans="1:3" ht="25.5" customHeight="1" x14ac:dyDescent="0.2">
      <c r="A2" s="103" t="s">
        <v>132</v>
      </c>
      <c r="B2" s="96"/>
      <c r="C2" s="96"/>
    </row>
    <row r="3" spans="1:3" ht="9.75" customHeight="1" x14ac:dyDescent="0.2"/>
    <row r="4" spans="1:3" ht="19.5" customHeight="1" x14ac:dyDescent="0.2">
      <c r="A4" s="108" t="s">
        <v>133</v>
      </c>
      <c r="B4" s="96"/>
      <c r="C4" s="96"/>
    </row>
    <row r="5" spans="1:3" ht="9.75" customHeight="1" x14ac:dyDescent="0.2"/>
    <row r="6" spans="1:3" ht="25.5" customHeight="1" x14ac:dyDescent="0.2">
      <c r="A6" s="107" t="s">
        <v>134</v>
      </c>
      <c r="B6" s="96"/>
      <c r="C6" s="96"/>
    </row>
    <row r="7" spans="1:3" ht="31.5" customHeight="1" x14ac:dyDescent="0.2">
      <c r="B7" s="4" t="s">
        <v>135</v>
      </c>
      <c r="C7" s="5" t="s">
        <v>136</v>
      </c>
    </row>
    <row r="8" spans="1:3" ht="31.5" customHeight="1" x14ac:dyDescent="0.2">
      <c r="B8" s="4" t="s">
        <v>137</v>
      </c>
      <c r="C8" s="5" t="s">
        <v>138</v>
      </c>
    </row>
    <row r="9" spans="1:3" ht="31.5" customHeight="1" x14ac:dyDescent="0.2">
      <c r="A9" s="6"/>
      <c r="B9" s="4" t="s">
        <v>139</v>
      </c>
      <c r="C9" s="5" t="s">
        <v>140</v>
      </c>
    </row>
    <row r="10" spans="1:3" ht="31.5" customHeight="1" x14ac:dyDescent="0.2">
      <c r="A10" s="7"/>
      <c r="B10" s="4" t="s">
        <v>141</v>
      </c>
      <c r="C10" s="5" t="s">
        <v>142</v>
      </c>
    </row>
    <row r="11" spans="1:3" ht="31.5" customHeight="1" x14ac:dyDescent="0.2">
      <c r="A11" s="6"/>
      <c r="B11" s="4" t="s">
        <v>143</v>
      </c>
      <c r="C11" s="5" t="s">
        <v>144</v>
      </c>
    </row>
    <row r="12" spans="1:3" ht="31.5" customHeight="1" x14ac:dyDescent="0.2">
      <c r="A12" s="7"/>
      <c r="B12" s="4" t="s">
        <v>145</v>
      </c>
      <c r="C12" s="5" t="s">
        <v>146</v>
      </c>
    </row>
    <row r="13" spans="1:3" ht="31.5" customHeight="1" x14ac:dyDescent="0.2">
      <c r="A13" s="2"/>
      <c r="B13" s="4" t="s">
        <v>147</v>
      </c>
      <c r="C13" s="5" t="s">
        <v>148</v>
      </c>
    </row>
    <row r="14" spans="1:3" ht="9.75" customHeight="1" x14ac:dyDescent="0.2">
      <c r="B14" s="4" t="s">
        <v>149</v>
      </c>
      <c r="C14" s="5" t="s">
        <v>150</v>
      </c>
    </row>
    <row r="15" spans="1:3" ht="25.5" customHeight="1" x14ac:dyDescent="0.2">
      <c r="B15" s="4" t="s">
        <v>151</v>
      </c>
      <c r="C15" s="5" t="s">
        <v>152</v>
      </c>
    </row>
    <row r="16" spans="1:3" ht="39.75" customHeight="1" x14ac:dyDescent="0.2">
      <c r="A16" s="106"/>
      <c r="B16" s="96"/>
      <c r="C16" s="96"/>
    </row>
    <row r="17" spans="1:3" ht="39.75" customHeight="1" x14ac:dyDescent="0.2">
      <c r="B17" s="8"/>
      <c r="C17" s="9"/>
    </row>
    <row r="18" spans="1:3" ht="39.75" customHeight="1" x14ac:dyDescent="0.2">
      <c r="A18" s="10" t="s">
        <v>153</v>
      </c>
    </row>
    <row r="19" spans="1:3" ht="9.75" customHeight="1" x14ac:dyDescent="0.2">
      <c r="B19" s="11" t="s">
        <v>154</v>
      </c>
      <c r="C19" s="5" t="s">
        <v>155</v>
      </c>
    </row>
    <row r="20" spans="1:3" ht="25.5" customHeight="1" x14ac:dyDescent="0.2">
      <c r="B20" s="11" t="s">
        <v>156</v>
      </c>
      <c r="C20" s="5" t="s">
        <v>157</v>
      </c>
    </row>
    <row r="21" spans="1:3" ht="25.5" customHeight="1" x14ac:dyDescent="0.2">
      <c r="A21" s="96"/>
      <c r="B21" s="96"/>
      <c r="C21" s="96"/>
    </row>
    <row r="22" spans="1:3" ht="25.5" customHeight="1" x14ac:dyDescent="0.2"/>
    <row r="23" spans="1:3" ht="25.5" customHeight="1" x14ac:dyDescent="0.2">
      <c r="A23" s="12" t="s">
        <v>158</v>
      </c>
    </row>
    <row r="24" spans="1:3" ht="9.75" customHeight="1" x14ac:dyDescent="0.2">
      <c r="A24" s="13"/>
      <c r="B24" s="4" t="s">
        <v>159</v>
      </c>
      <c r="C24" s="5" t="s">
        <v>160</v>
      </c>
    </row>
    <row r="25" spans="1:3" ht="25.5" customHeight="1" x14ac:dyDescent="0.2">
      <c r="A25" s="14"/>
      <c r="B25" s="4" t="s">
        <v>161</v>
      </c>
      <c r="C25" s="5" t="s">
        <v>162</v>
      </c>
    </row>
    <row r="26" spans="1:3" ht="25.5" customHeight="1" x14ac:dyDescent="0.2">
      <c r="A26" s="102"/>
      <c r="B26" s="96"/>
      <c r="C26" s="96"/>
    </row>
    <row r="27" spans="1:3" ht="25.5" customHeight="1" x14ac:dyDescent="0.2"/>
    <row r="28" spans="1:3" ht="25.5" customHeight="1" x14ac:dyDescent="0.2">
      <c r="A28" s="15" t="s">
        <v>163</v>
      </c>
    </row>
    <row r="29" spans="1:3" ht="25.5" customHeight="1" x14ac:dyDescent="0.2">
      <c r="B29" s="16" t="s">
        <v>164</v>
      </c>
      <c r="C29" s="5" t="s">
        <v>165</v>
      </c>
    </row>
    <row r="30" spans="1:3" ht="25.5" customHeight="1" x14ac:dyDescent="0.2">
      <c r="B30" s="16" t="s">
        <v>166</v>
      </c>
      <c r="C30" s="5" t="s">
        <v>167</v>
      </c>
    </row>
    <row r="31" spans="1:3" ht="9.75" customHeight="1" x14ac:dyDescent="0.2">
      <c r="B31" s="16" t="s">
        <v>168</v>
      </c>
      <c r="C31" s="5" t="s">
        <v>169</v>
      </c>
    </row>
    <row r="32" spans="1:3" ht="25.5" customHeight="1" x14ac:dyDescent="0.2">
      <c r="B32" s="16" t="s">
        <v>170</v>
      </c>
      <c r="C32" s="5" t="s">
        <v>171</v>
      </c>
    </row>
    <row r="33" spans="1:3" ht="25.5" customHeight="1" x14ac:dyDescent="0.2">
      <c r="A33" s="96"/>
      <c r="B33" s="96"/>
      <c r="C33" s="96"/>
    </row>
    <row r="34" spans="1:3" ht="25.5" customHeight="1" x14ac:dyDescent="0.2"/>
    <row r="35" spans="1:3" ht="25.5" customHeight="1" x14ac:dyDescent="0.2">
      <c r="A35" s="3" t="s">
        <v>172</v>
      </c>
    </row>
    <row r="36" spans="1:3" ht="25.5" customHeight="1" x14ac:dyDescent="0.2">
      <c r="B36" s="4" t="s">
        <v>141</v>
      </c>
      <c r="C36" s="5" t="s">
        <v>173</v>
      </c>
    </row>
    <row r="37" spans="1:3" ht="25.5" customHeight="1" x14ac:dyDescent="0.2">
      <c r="B37" s="4" t="s">
        <v>139</v>
      </c>
      <c r="C37" s="5" t="s">
        <v>174</v>
      </c>
    </row>
    <row r="38" spans="1:3" ht="25.5" customHeight="1" x14ac:dyDescent="0.2">
      <c r="B38" s="4" t="s">
        <v>143</v>
      </c>
      <c r="C38" s="5" t="s">
        <v>175</v>
      </c>
    </row>
    <row r="39" spans="1:3" ht="25.5" customHeight="1" x14ac:dyDescent="0.2">
      <c r="B39" s="4" t="s">
        <v>145</v>
      </c>
      <c r="C39" s="5" t="s">
        <v>176</v>
      </c>
    </row>
    <row r="40" spans="1:3" ht="9.75" customHeight="1" x14ac:dyDescent="0.2">
      <c r="B40" s="4" t="s">
        <v>147</v>
      </c>
      <c r="C40" s="5" t="s">
        <v>177</v>
      </c>
    </row>
    <row r="41" spans="1:3" ht="25.5" customHeight="1" x14ac:dyDescent="0.2">
      <c r="B41" s="4" t="s">
        <v>149</v>
      </c>
      <c r="C41" s="5" t="s">
        <v>178</v>
      </c>
    </row>
    <row r="42" spans="1:3" ht="39.75" customHeight="1" x14ac:dyDescent="0.2">
      <c r="A42" s="96"/>
      <c r="B42" s="96"/>
      <c r="C42" s="96"/>
    </row>
    <row r="44" spans="1:3" ht="16.5" customHeight="1" x14ac:dyDescent="0.2">
      <c r="A44" s="10" t="s">
        <v>179</v>
      </c>
    </row>
    <row r="45" spans="1:3" ht="27" customHeight="1" x14ac:dyDescent="0.2">
      <c r="B45" s="11" t="s">
        <v>180</v>
      </c>
      <c r="C45" s="5" t="s">
        <v>181</v>
      </c>
    </row>
    <row r="47" spans="1:3" x14ac:dyDescent="0.2">
      <c r="A47" s="104" t="s">
        <v>182</v>
      </c>
      <c r="B47" s="96"/>
      <c r="C47" s="96"/>
    </row>
    <row r="48" spans="1:3" ht="45.75" customHeight="1" x14ac:dyDescent="0.2">
      <c r="A48" s="101" t="s">
        <v>183</v>
      </c>
      <c r="B48" s="96"/>
      <c r="C48" s="96"/>
    </row>
  </sheetData>
  <mergeCells count="11">
    <mergeCell ref="A1:C1"/>
    <mergeCell ref="A16:C16"/>
    <mergeCell ref="A6:C6"/>
    <mergeCell ref="A21:C21"/>
    <mergeCell ref="A4:C4"/>
    <mergeCell ref="A48:C48"/>
    <mergeCell ref="A26:C26"/>
    <mergeCell ref="A2:C2"/>
    <mergeCell ref="A42:C42"/>
    <mergeCell ref="A33:C33"/>
    <mergeCell ref="A47:C4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4"/>
  <sheetViews>
    <sheetView showGridLines="0" zoomScaleNormal="100" workbookViewId="0">
      <pane ySplit="75" topLeftCell="A76" activePane="bottomLeft" state="frozen"/>
      <selection pane="bottomLeft"/>
    </sheetView>
  </sheetViews>
  <sheetFormatPr baseColWidth="10" defaultColWidth="8.6640625" defaultRowHeight="15" x14ac:dyDescent="0.2"/>
  <cols>
    <col min="1" max="1" width="16" hidden="1" customWidth="1"/>
    <col min="2" max="2" width="5" hidden="1" customWidth="1"/>
    <col min="3" max="3" width="47.6640625" customWidth="1"/>
    <col min="4" max="4" width="14" customWidth="1"/>
    <col min="5" max="5" width="29" customWidth="1"/>
    <col min="6" max="6" width="68.33203125" customWidth="1"/>
  </cols>
  <sheetData>
    <row r="1" spans="1:6" ht="25.5" customHeight="1" x14ac:dyDescent="0.2">
      <c r="A1" s="111" t="s">
        <v>184</v>
      </c>
      <c r="B1" s="96"/>
      <c r="C1" s="96"/>
      <c r="D1" s="96"/>
      <c r="E1" s="96"/>
      <c r="F1" s="96"/>
    </row>
    <row r="2" spans="1:6" ht="19.5" customHeight="1" x14ac:dyDescent="0.2">
      <c r="A2" s="110" t="s">
        <v>185</v>
      </c>
      <c r="B2" s="96"/>
      <c r="C2" s="96"/>
      <c r="D2" s="96"/>
      <c r="E2" s="96"/>
      <c r="F2" s="96"/>
    </row>
    <row r="3" spans="1:6" ht="31.5" customHeight="1" x14ac:dyDescent="0.2">
      <c r="A3" s="109" t="s">
        <v>186</v>
      </c>
      <c r="B3" s="96"/>
      <c r="C3" s="96"/>
      <c r="D3" s="96"/>
      <c r="E3" s="96"/>
      <c r="F3" s="96"/>
    </row>
    <row r="4" spans="1:6" ht="6" customHeight="1" x14ac:dyDescent="0.2"/>
    <row r="5" spans="1:6" ht="21.75" customHeight="1" x14ac:dyDescent="0.2">
      <c r="A5" s="17" t="s">
        <v>187</v>
      </c>
      <c r="B5" s="17" t="s">
        <v>188</v>
      </c>
      <c r="C5" s="17" t="s">
        <v>189</v>
      </c>
      <c r="D5" s="17" t="s">
        <v>190</v>
      </c>
      <c r="E5" s="17" t="s">
        <v>191</v>
      </c>
      <c r="F5" s="17" t="s">
        <v>192</v>
      </c>
    </row>
    <row r="6" spans="1:6" ht="39.75" customHeight="1" x14ac:dyDescent="0.2">
      <c r="A6" s="18" t="s">
        <v>193</v>
      </c>
      <c r="B6" s="19" t="s">
        <v>194</v>
      </c>
      <c r="C6" s="19" t="s">
        <v>195</v>
      </c>
      <c r="D6" s="19" t="s">
        <v>196</v>
      </c>
      <c r="E6" s="20" t="s">
        <v>197</v>
      </c>
      <c r="F6" s="21" t="s">
        <v>198</v>
      </c>
    </row>
    <row r="7" spans="1:6" ht="39.75" customHeight="1" x14ac:dyDescent="0.2">
      <c r="A7" s="18" t="s">
        <v>199</v>
      </c>
      <c r="B7" s="19" t="s">
        <v>200</v>
      </c>
      <c r="C7" s="19" t="s">
        <v>201</v>
      </c>
      <c r="D7" s="19" t="s">
        <v>202</v>
      </c>
      <c r="E7" s="20" t="s">
        <v>203</v>
      </c>
      <c r="F7" s="21" t="s">
        <v>204</v>
      </c>
    </row>
    <row r="8" spans="1:6" ht="39.75" customHeight="1" x14ac:dyDescent="0.2">
      <c r="A8" s="22" t="s">
        <v>199</v>
      </c>
      <c r="B8" s="19" t="s">
        <v>205</v>
      </c>
      <c r="C8" s="19" t="s">
        <v>206</v>
      </c>
      <c r="D8" s="19" t="s">
        <v>202</v>
      </c>
      <c r="E8" s="20" t="s">
        <v>207</v>
      </c>
      <c r="F8" s="21" t="s">
        <v>207</v>
      </c>
    </row>
    <row r="9" spans="1:6" ht="39.75" customHeight="1" x14ac:dyDescent="0.2">
      <c r="A9" s="22" t="s">
        <v>199</v>
      </c>
      <c r="B9" s="19" t="s">
        <v>208</v>
      </c>
      <c r="C9" s="19" t="s">
        <v>209</v>
      </c>
      <c r="D9" s="19" t="s">
        <v>202</v>
      </c>
      <c r="E9" s="20" t="s">
        <v>210</v>
      </c>
      <c r="F9" s="21" t="s">
        <v>211</v>
      </c>
    </row>
    <row r="10" spans="1:6" ht="39.75" customHeight="1" x14ac:dyDescent="0.2">
      <c r="A10" s="22" t="s">
        <v>199</v>
      </c>
      <c r="B10" s="19" t="s">
        <v>212</v>
      </c>
      <c r="C10" s="19" t="s">
        <v>213</v>
      </c>
      <c r="D10" s="19" t="s">
        <v>202</v>
      </c>
      <c r="E10" s="20" t="s">
        <v>214</v>
      </c>
      <c r="F10" s="23" t="s">
        <v>215</v>
      </c>
    </row>
    <row r="11" spans="1:6" ht="39.75" customHeight="1" x14ac:dyDescent="0.2">
      <c r="A11" s="22" t="s">
        <v>199</v>
      </c>
      <c r="B11" s="19" t="s">
        <v>216</v>
      </c>
      <c r="C11" s="19" t="s">
        <v>217</v>
      </c>
      <c r="D11" s="19" t="s">
        <v>218</v>
      </c>
      <c r="E11" s="20" t="s">
        <v>219</v>
      </c>
      <c r="F11" s="21" t="s">
        <v>220</v>
      </c>
    </row>
    <row r="12" spans="1:6" ht="39.75" customHeight="1" x14ac:dyDescent="0.2">
      <c r="A12" s="18" t="s">
        <v>221</v>
      </c>
      <c r="B12" s="19" t="s">
        <v>222</v>
      </c>
      <c r="C12" s="19" t="s">
        <v>223</v>
      </c>
      <c r="D12" s="19" t="s">
        <v>224</v>
      </c>
      <c r="E12" s="20" t="s">
        <v>225</v>
      </c>
      <c r="F12" s="21" t="s">
        <v>226</v>
      </c>
    </row>
    <row r="13" spans="1:6" ht="39.75" customHeight="1" x14ac:dyDescent="0.2">
      <c r="A13" s="22" t="s">
        <v>221</v>
      </c>
      <c r="B13" s="19" t="s">
        <v>227</v>
      </c>
      <c r="C13" s="19" t="s">
        <v>228</v>
      </c>
      <c r="D13" s="19" t="s">
        <v>224</v>
      </c>
      <c r="E13" s="20" t="s">
        <v>229</v>
      </c>
      <c r="F13" s="21" t="s">
        <v>230</v>
      </c>
    </row>
    <row r="14" spans="1:6" ht="39.75" customHeight="1" x14ac:dyDescent="0.2">
      <c r="A14" s="22" t="s">
        <v>221</v>
      </c>
      <c r="B14" s="19" t="s">
        <v>231</v>
      </c>
      <c r="C14" s="19" t="s">
        <v>232</v>
      </c>
      <c r="D14" s="19" t="s">
        <v>224</v>
      </c>
      <c r="E14" s="20" t="s">
        <v>233</v>
      </c>
      <c r="F14" s="21" t="s">
        <v>234</v>
      </c>
    </row>
    <row r="15" spans="1:6" ht="39.75" customHeight="1" x14ac:dyDescent="0.2">
      <c r="A15" s="18" t="s">
        <v>235</v>
      </c>
      <c r="B15" s="19" t="s">
        <v>236</v>
      </c>
      <c r="C15" s="19" t="s">
        <v>237</v>
      </c>
      <c r="D15" s="19" t="s">
        <v>202</v>
      </c>
      <c r="E15" s="20" t="s">
        <v>238</v>
      </c>
      <c r="F15" s="21" t="s">
        <v>239</v>
      </c>
    </row>
    <row r="16" spans="1:6" ht="39.75" customHeight="1" x14ac:dyDescent="0.2">
      <c r="A16" s="22" t="s">
        <v>235</v>
      </c>
      <c r="B16" s="19" t="s">
        <v>240</v>
      </c>
      <c r="C16" s="19" t="s">
        <v>241</v>
      </c>
      <c r="D16" s="19" t="s">
        <v>202</v>
      </c>
      <c r="E16" s="20" t="s">
        <v>242</v>
      </c>
      <c r="F16" s="21" t="s">
        <v>243</v>
      </c>
    </row>
    <row r="17" spans="1:6" ht="39.75" customHeight="1" x14ac:dyDescent="0.2">
      <c r="A17" s="22" t="s">
        <v>235</v>
      </c>
      <c r="B17" s="19" t="s">
        <v>244</v>
      </c>
      <c r="C17" s="19" t="s">
        <v>245</v>
      </c>
      <c r="D17" s="19" t="s">
        <v>202</v>
      </c>
      <c r="E17" s="20" t="s">
        <v>246</v>
      </c>
      <c r="F17" s="21" t="s">
        <v>247</v>
      </c>
    </row>
    <row r="18" spans="1:6" ht="39.75" customHeight="1" x14ac:dyDescent="0.2">
      <c r="A18" s="22" t="s">
        <v>235</v>
      </c>
      <c r="B18" s="19" t="s">
        <v>248</v>
      </c>
      <c r="C18" s="19" t="s">
        <v>249</v>
      </c>
      <c r="D18" s="19" t="s">
        <v>224</v>
      </c>
      <c r="E18" s="20" t="s">
        <v>250</v>
      </c>
      <c r="F18" s="21" t="s">
        <v>251</v>
      </c>
    </row>
    <row r="19" spans="1:6" ht="39.75" customHeight="1" x14ac:dyDescent="0.2">
      <c r="A19" s="18" t="s">
        <v>252</v>
      </c>
      <c r="B19" s="19" t="s">
        <v>253</v>
      </c>
      <c r="C19" s="19" t="s">
        <v>254</v>
      </c>
      <c r="D19" s="19" t="s">
        <v>255</v>
      </c>
      <c r="E19" s="20" t="s">
        <v>256</v>
      </c>
      <c r="F19" s="21" t="s">
        <v>257</v>
      </c>
    </row>
    <row r="20" spans="1:6" ht="39.75" customHeight="1" x14ac:dyDescent="0.2">
      <c r="A20" s="22" t="s">
        <v>252</v>
      </c>
      <c r="B20" s="19" t="s">
        <v>258</v>
      </c>
      <c r="C20" s="19" t="s">
        <v>259</v>
      </c>
      <c r="D20" s="19" t="s">
        <v>255</v>
      </c>
      <c r="E20" s="20" t="s">
        <v>260</v>
      </c>
      <c r="F20" s="21" t="s">
        <v>261</v>
      </c>
    </row>
    <row r="21" spans="1:6" ht="39.75" customHeight="1" x14ac:dyDescent="0.2">
      <c r="A21" s="18" t="s">
        <v>262</v>
      </c>
      <c r="B21" s="19" t="s">
        <v>194</v>
      </c>
      <c r="C21" s="19" t="s">
        <v>263</v>
      </c>
      <c r="D21" s="19" t="s">
        <v>264</v>
      </c>
      <c r="E21" s="20" t="s">
        <v>265</v>
      </c>
      <c r="F21" s="21">
        <v>5205</v>
      </c>
    </row>
    <row r="22" spans="1:6" ht="39.75" customHeight="1" x14ac:dyDescent="0.2">
      <c r="A22" s="22" t="s">
        <v>262</v>
      </c>
      <c r="B22" s="19" t="s">
        <v>200</v>
      </c>
      <c r="C22" s="19" t="s">
        <v>266</v>
      </c>
      <c r="D22" s="19" t="s">
        <v>264</v>
      </c>
      <c r="E22" s="20" t="s">
        <v>267</v>
      </c>
      <c r="F22" s="21">
        <v>5166</v>
      </c>
    </row>
    <row r="23" spans="1:6" ht="39.75" customHeight="1" x14ac:dyDescent="0.2">
      <c r="A23" s="22" t="s">
        <v>262</v>
      </c>
      <c r="B23" s="19" t="s">
        <v>205</v>
      </c>
      <c r="C23" s="19" t="s">
        <v>268</v>
      </c>
      <c r="D23" s="19" t="s">
        <v>264</v>
      </c>
      <c r="E23" s="20" t="s">
        <v>269</v>
      </c>
      <c r="F23" s="21">
        <v>421</v>
      </c>
    </row>
    <row r="24" spans="1:6" ht="39.75" customHeight="1" x14ac:dyDescent="0.2">
      <c r="A24" s="22" t="s">
        <v>262</v>
      </c>
      <c r="B24" s="19" t="s">
        <v>208</v>
      </c>
      <c r="C24" s="19" t="s">
        <v>270</v>
      </c>
      <c r="D24" s="19" t="s">
        <v>264</v>
      </c>
      <c r="E24" s="20" t="s">
        <v>271</v>
      </c>
      <c r="F24" s="21">
        <v>4688</v>
      </c>
    </row>
    <row r="25" spans="1:6" ht="39.75" customHeight="1" x14ac:dyDescent="0.2">
      <c r="A25" s="22" t="s">
        <v>262</v>
      </c>
      <c r="B25" s="19" t="s">
        <v>212</v>
      </c>
      <c r="C25" s="19" t="s">
        <v>272</v>
      </c>
      <c r="D25" s="19" t="s">
        <v>273</v>
      </c>
      <c r="E25" s="20" t="s">
        <v>274</v>
      </c>
      <c r="F25" s="21" t="s">
        <v>275</v>
      </c>
    </row>
    <row r="26" spans="1:6" ht="39.75" customHeight="1" x14ac:dyDescent="0.2">
      <c r="A26" s="22" t="s">
        <v>262</v>
      </c>
      <c r="B26" s="19" t="s">
        <v>216</v>
      </c>
      <c r="C26" s="19" t="s">
        <v>276</v>
      </c>
      <c r="D26" s="19" t="s">
        <v>202</v>
      </c>
      <c r="E26" s="20" t="s">
        <v>277</v>
      </c>
      <c r="F26" s="21" t="s">
        <v>278</v>
      </c>
    </row>
    <row r="27" spans="1:6" ht="39.75" customHeight="1" x14ac:dyDescent="0.2">
      <c r="A27" s="22" t="s">
        <v>262</v>
      </c>
      <c r="B27" s="19" t="s">
        <v>222</v>
      </c>
      <c r="C27" s="19" t="s">
        <v>279</v>
      </c>
      <c r="D27" s="19" t="s">
        <v>202</v>
      </c>
      <c r="E27" s="20" t="s">
        <v>280</v>
      </c>
      <c r="F27" s="21" t="s">
        <v>281</v>
      </c>
    </row>
    <row r="28" spans="1:6" ht="39.75" customHeight="1" x14ac:dyDescent="0.2">
      <c r="A28" s="22" t="s">
        <v>262</v>
      </c>
      <c r="B28" s="19" t="s">
        <v>227</v>
      </c>
      <c r="C28" s="19" t="s">
        <v>282</v>
      </c>
      <c r="D28" s="19" t="s">
        <v>202</v>
      </c>
      <c r="E28" s="20" t="s">
        <v>283</v>
      </c>
      <c r="F28" s="21" t="s">
        <v>284</v>
      </c>
    </row>
    <row r="29" spans="1:6" ht="39.75" customHeight="1" x14ac:dyDescent="0.2">
      <c r="A29" s="22" t="s">
        <v>262</v>
      </c>
      <c r="B29" s="19" t="s">
        <v>231</v>
      </c>
      <c r="C29" s="19" t="s">
        <v>285</v>
      </c>
      <c r="D29" s="19" t="s">
        <v>286</v>
      </c>
      <c r="E29" s="20" t="s">
        <v>287</v>
      </c>
      <c r="F29" s="21"/>
    </row>
    <row r="30" spans="1:6" ht="39.75" customHeight="1" x14ac:dyDescent="0.2">
      <c r="A30" s="22" t="s">
        <v>262</v>
      </c>
      <c r="B30" s="19" t="s">
        <v>236</v>
      </c>
      <c r="C30" s="19" t="s">
        <v>288</v>
      </c>
      <c r="D30" s="19" t="s">
        <v>289</v>
      </c>
      <c r="E30" s="20" t="s">
        <v>290</v>
      </c>
      <c r="F30" s="21"/>
    </row>
    <row r="31" spans="1:6" ht="39.75" customHeight="1" x14ac:dyDescent="0.2">
      <c r="A31" s="18" t="s">
        <v>291</v>
      </c>
      <c r="B31" s="19" t="s">
        <v>212</v>
      </c>
      <c r="C31" s="19" t="s">
        <v>292</v>
      </c>
      <c r="D31" s="19" t="s">
        <v>218</v>
      </c>
      <c r="E31" s="20" t="s">
        <v>293</v>
      </c>
      <c r="F31" s="21" t="s">
        <v>294</v>
      </c>
    </row>
    <row r="32" spans="1:6" ht="39.75" customHeight="1" x14ac:dyDescent="0.2">
      <c r="A32" s="22" t="s">
        <v>291</v>
      </c>
      <c r="B32" s="19" t="s">
        <v>216</v>
      </c>
      <c r="C32" s="19" t="s">
        <v>295</v>
      </c>
      <c r="D32" s="19" t="s">
        <v>218</v>
      </c>
      <c r="E32" s="20" t="s">
        <v>296</v>
      </c>
      <c r="F32" s="21" t="s">
        <v>296</v>
      </c>
    </row>
    <row r="33" spans="1:6" ht="39.75" customHeight="1" x14ac:dyDescent="0.2">
      <c r="A33" s="22" t="s">
        <v>291</v>
      </c>
      <c r="B33" s="19" t="s">
        <v>222</v>
      </c>
      <c r="C33" s="19" t="s">
        <v>297</v>
      </c>
      <c r="D33" s="19" t="s">
        <v>298</v>
      </c>
      <c r="E33" s="20" t="s">
        <v>299</v>
      </c>
      <c r="F33" s="21" t="s">
        <v>300</v>
      </c>
    </row>
    <row r="34" spans="1:6" ht="39.75" customHeight="1" x14ac:dyDescent="0.2">
      <c r="A34" s="22" t="s">
        <v>291</v>
      </c>
      <c r="B34" s="19" t="s">
        <v>227</v>
      </c>
      <c r="C34" s="19" t="s">
        <v>301</v>
      </c>
      <c r="D34" s="19" t="s">
        <v>218</v>
      </c>
      <c r="E34" s="20" t="s">
        <v>302</v>
      </c>
      <c r="F34" s="21" t="s">
        <v>303</v>
      </c>
    </row>
    <row r="35" spans="1:6" ht="39.75" customHeight="1" x14ac:dyDescent="0.2">
      <c r="A35" s="22" t="s">
        <v>291</v>
      </c>
      <c r="B35" s="19" t="s">
        <v>231</v>
      </c>
      <c r="C35" s="19" t="s">
        <v>304</v>
      </c>
      <c r="D35" s="19" t="s">
        <v>202</v>
      </c>
      <c r="E35" s="20" t="s">
        <v>305</v>
      </c>
      <c r="F35" s="21" t="s">
        <v>251</v>
      </c>
    </row>
    <row r="36" spans="1:6" ht="39.75" customHeight="1" x14ac:dyDescent="0.2">
      <c r="A36" s="22" t="s">
        <v>291</v>
      </c>
      <c r="B36" s="19" t="s">
        <v>236</v>
      </c>
      <c r="C36" s="19" t="s">
        <v>306</v>
      </c>
      <c r="D36" s="19" t="s">
        <v>224</v>
      </c>
      <c r="E36" s="20" t="s">
        <v>307</v>
      </c>
      <c r="F36" s="21" t="s">
        <v>308</v>
      </c>
    </row>
    <row r="37" spans="1:6" ht="39.75" customHeight="1" x14ac:dyDescent="0.2">
      <c r="A37" s="22" t="s">
        <v>291</v>
      </c>
      <c r="B37" s="19" t="s">
        <v>240</v>
      </c>
      <c r="C37" s="19" t="s">
        <v>309</v>
      </c>
      <c r="D37" s="19" t="s">
        <v>224</v>
      </c>
      <c r="E37" s="20" t="s">
        <v>310</v>
      </c>
      <c r="F37" s="21" t="s">
        <v>311</v>
      </c>
    </row>
    <row r="38" spans="1:6" ht="39.75" customHeight="1" x14ac:dyDescent="0.2">
      <c r="A38" s="18" t="s">
        <v>312</v>
      </c>
      <c r="B38" s="19" t="s">
        <v>244</v>
      </c>
      <c r="C38" s="19" t="s">
        <v>313</v>
      </c>
      <c r="D38" s="19" t="s">
        <v>224</v>
      </c>
      <c r="E38" s="20" t="s">
        <v>314</v>
      </c>
      <c r="F38" s="21" t="s">
        <v>315</v>
      </c>
    </row>
    <row r="39" spans="1:6" ht="39.75" customHeight="1" x14ac:dyDescent="0.2">
      <c r="A39" s="22" t="s">
        <v>312</v>
      </c>
      <c r="B39" s="19" t="s">
        <v>248</v>
      </c>
      <c r="C39" s="19" t="s">
        <v>316</v>
      </c>
      <c r="D39" s="19" t="s">
        <v>224</v>
      </c>
      <c r="E39" s="20" t="s">
        <v>317</v>
      </c>
      <c r="F39" s="21" t="s">
        <v>318</v>
      </c>
    </row>
    <row r="40" spans="1:6" ht="39.75" customHeight="1" x14ac:dyDescent="0.2">
      <c r="A40" s="22" t="s">
        <v>312</v>
      </c>
      <c r="B40" s="19" t="s">
        <v>253</v>
      </c>
      <c r="C40" s="19" t="s">
        <v>319</v>
      </c>
      <c r="D40" s="19" t="s">
        <v>224</v>
      </c>
      <c r="E40" s="20" t="s">
        <v>320</v>
      </c>
      <c r="F40" s="21" t="s">
        <v>321</v>
      </c>
    </row>
    <row r="41" spans="1:6" ht="39.75" customHeight="1" x14ac:dyDescent="0.2">
      <c r="A41" s="22" t="s">
        <v>312</v>
      </c>
      <c r="B41" s="19" t="s">
        <v>258</v>
      </c>
      <c r="C41" s="19" t="s">
        <v>322</v>
      </c>
      <c r="D41" s="19" t="s">
        <v>224</v>
      </c>
      <c r="E41" s="20" t="s">
        <v>323</v>
      </c>
      <c r="F41" s="21" t="s">
        <v>324</v>
      </c>
    </row>
    <row r="42" spans="1:6" ht="39.75" customHeight="1" x14ac:dyDescent="0.2">
      <c r="A42" s="18" t="s">
        <v>325</v>
      </c>
      <c r="B42" s="19" t="s">
        <v>326</v>
      </c>
      <c r="C42" s="19" t="s">
        <v>327</v>
      </c>
      <c r="D42" s="19" t="s">
        <v>328</v>
      </c>
      <c r="E42" s="20" t="s">
        <v>329</v>
      </c>
      <c r="F42" s="21" t="s">
        <v>330</v>
      </c>
    </row>
    <row r="43" spans="1:6" ht="39.75" customHeight="1" x14ac:dyDescent="0.2">
      <c r="A43" s="22" t="s">
        <v>325</v>
      </c>
      <c r="B43" s="19" t="s">
        <v>331</v>
      </c>
      <c r="C43" s="19" t="s">
        <v>332</v>
      </c>
      <c r="D43" s="19" t="s">
        <v>224</v>
      </c>
      <c r="E43" s="20" t="s">
        <v>333</v>
      </c>
      <c r="F43" s="21" t="s">
        <v>334</v>
      </c>
    </row>
    <row r="44" spans="1:6" ht="39.75" customHeight="1" x14ac:dyDescent="0.2">
      <c r="A44" s="22" t="s">
        <v>325</v>
      </c>
      <c r="B44" s="19" t="s">
        <v>335</v>
      </c>
      <c r="C44" s="19" t="s">
        <v>336</v>
      </c>
      <c r="D44" s="19" t="s">
        <v>224</v>
      </c>
      <c r="E44" s="20" t="s">
        <v>337</v>
      </c>
      <c r="F44" s="21" t="s">
        <v>338</v>
      </c>
    </row>
    <row r="45" spans="1:6" ht="39.75" customHeight="1" x14ac:dyDescent="0.2">
      <c r="A45" s="22" t="s">
        <v>325</v>
      </c>
      <c r="B45" s="19" t="s">
        <v>339</v>
      </c>
      <c r="C45" s="19" t="s">
        <v>340</v>
      </c>
      <c r="D45" s="19" t="s">
        <v>224</v>
      </c>
      <c r="E45" s="20" t="s">
        <v>341</v>
      </c>
      <c r="F45" s="21" t="s">
        <v>342</v>
      </c>
    </row>
    <row r="46" spans="1:6" ht="39.75" customHeight="1" x14ac:dyDescent="0.2">
      <c r="A46" s="18" t="s">
        <v>343</v>
      </c>
      <c r="B46" s="19" t="s">
        <v>344</v>
      </c>
      <c r="C46" s="19" t="s">
        <v>345</v>
      </c>
      <c r="D46" s="19" t="s">
        <v>202</v>
      </c>
      <c r="E46" s="20" t="s">
        <v>346</v>
      </c>
      <c r="F46" s="21" t="s">
        <v>347</v>
      </c>
    </row>
    <row r="47" spans="1:6" ht="39.75" customHeight="1" x14ac:dyDescent="0.2">
      <c r="A47" s="22" t="s">
        <v>343</v>
      </c>
      <c r="B47" s="19" t="s">
        <v>348</v>
      </c>
      <c r="C47" s="19" t="s">
        <v>349</v>
      </c>
      <c r="D47" s="19" t="s">
        <v>202</v>
      </c>
      <c r="E47" s="20" t="s">
        <v>350</v>
      </c>
      <c r="F47" s="21" t="s">
        <v>351</v>
      </c>
    </row>
    <row r="48" spans="1:6" ht="39.75" customHeight="1" x14ac:dyDescent="0.2">
      <c r="A48" s="22" t="s">
        <v>343</v>
      </c>
      <c r="B48" s="19" t="s">
        <v>352</v>
      </c>
      <c r="C48" s="19" t="s">
        <v>353</v>
      </c>
      <c r="D48" s="19" t="s">
        <v>354</v>
      </c>
      <c r="E48" s="20" t="s">
        <v>355</v>
      </c>
      <c r="F48" s="21" t="s">
        <v>356</v>
      </c>
    </row>
    <row r="49" spans="1:6" ht="39.75" customHeight="1" x14ac:dyDescent="0.2">
      <c r="A49" s="18" t="s">
        <v>357</v>
      </c>
      <c r="B49" s="19" t="s">
        <v>358</v>
      </c>
      <c r="C49" s="19" t="s">
        <v>359</v>
      </c>
      <c r="D49" s="19" t="s">
        <v>360</v>
      </c>
      <c r="E49" s="20" t="s">
        <v>361</v>
      </c>
      <c r="F49" s="21" t="s">
        <v>362</v>
      </c>
    </row>
    <row r="50" spans="1:6" ht="39.75" customHeight="1" x14ac:dyDescent="0.2">
      <c r="A50" s="22" t="s">
        <v>357</v>
      </c>
      <c r="B50" s="19" t="s">
        <v>363</v>
      </c>
      <c r="C50" s="19" t="s">
        <v>364</v>
      </c>
      <c r="D50" s="19" t="s">
        <v>365</v>
      </c>
      <c r="E50" s="20" t="s">
        <v>366</v>
      </c>
      <c r="F50" s="21" t="s">
        <v>367</v>
      </c>
    </row>
    <row r="51" spans="1:6" ht="39.75" customHeight="1" x14ac:dyDescent="0.2">
      <c r="A51" s="22" t="s">
        <v>357</v>
      </c>
      <c r="B51" s="19" t="s">
        <v>368</v>
      </c>
      <c r="C51" s="19" t="s">
        <v>369</v>
      </c>
      <c r="D51" s="19" t="s">
        <v>218</v>
      </c>
      <c r="E51" s="20" t="s">
        <v>370</v>
      </c>
      <c r="F51" s="21" t="s">
        <v>371</v>
      </c>
    </row>
    <row r="52" spans="1:6" ht="39.75" customHeight="1" x14ac:dyDescent="0.2">
      <c r="A52" s="22" t="s">
        <v>357</v>
      </c>
      <c r="B52" s="19" t="s">
        <v>372</v>
      </c>
      <c r="C52" s="19" t="s">
        <v>373</v>
      </c>
      <c r="D52" s="19" t="s">
        <v>224</v>
      </c>
      <c r="E52" s="20" t="s">
        <v>374</v>
      </c>
      <c r="F52" s="21" t="s">
        <v>375</v>
      </c>
    </row>
    <row r="53" spans="1:6" ht="39.75" customHeight="1" x14ac:dyDescent="0.2">
      <c r="A53" s="18" t="s">
        <v>376</v>
      </c>
      <c r="B53" s="19" t="s">
        <v>377</v>
      </c>
      <c r="C53" s="19" t="s">
        <v>378</v>
      </c>
      <c r="D53" s="19" t="s">
        <v>379</v>
      </c>
      <c r="E53" s="20" t="s">
        <v>380</v>
      </c>
      <c r="F53" s="21" t="s">
        <v>251</v>
      </c>
    </row>
    <row r="54" spans="1:6" ht="39.75" customHeight="1" x14ac:dyDescent="0.2">
      <c r="A54" s="18" t="s">
        <v>381</v>
      </c>
      <c r="B54" s="19" t="s">
        <v>194</v>
      </c>
      <c r="C54" s="19" t="s">
        <v>382</v>
      </c>
      <c r="D54" s="19" t="s">
        <v>298</v>
      </c>
      <c r="E54" s="20" t="s">
        <v>383</v>
      </c>
      <c r="F54" s="21" t="s">
        <v>384</v>
      </c>
    </row>
    <row r="55" spans="1:6" ht="39.75" customHeight="1" x14ac:dyDescent="0.2">
      <c r="A55" s="18" t="s">
        <v>385</v>
      </c>
      <c r="B55" s="19" t="s">
        <v>200</v>
      </c>
      <c r="C55" s="19" t="s">
        <v>386</v>
      </c>
      <c r="D55" s="19" t="s">
        <v>387</v>
      </c>
      <c r="E55" s="20" t="s">
        <v>388</v>
      </c>
      <c r="F55" s="21" t="s">
        <v>389</v>
      </c>
    </row>
    <row r="56" spans="1:6" ht="39.75" customHeight="1" x14ac:dyDescent="0.2">
      <c r="A56" s="22" t="s">
        <v>385</v>
      </c>
      <c r="B56" s="19" t="s">
        <v>205</v>
      </c>
      <c r="C56" s="19" t="s">
        <v>390</v>
      </c>
      <c r="D56" s="19" t="s">
        <v>224</v>
      </c>
      <c r="E56" s="20" t="s">
        <v>391</v>
      </c>
      <c r="F56" s="21" t="s">
        <v>392</v>
      </c>
    </row>
    <row r="57" spans="1:6" ht="39.75" customHeight="1" x14ac:dyDescent="0.2">
      <c r="A57" s="22" t="s">
        <v>385</v>
      </c>
      <c r="B57" s="19" t="s">
        <v>208</v>
      </c>
      <c r="C57" s="19" t="s">
        <v>393</v>
      </c>
      <c r="D57" s="19" t="s">
        <v>224</v>
      </c>
      <c r="E57" s="20" t="s">
        <v>394</v>
      </c>
      <c r="F57" s="21" t="s">
        <v>395</v>
      </c>
    </row>
    <row r="58" spans="1:6" ht="39.75" customHeight="1" x14ac:dyDescent="0.2">
      <c r="A58" s="18" t="s">
        <v>396</v>
      </c>
      <c r="B58" s="19" t="s">
        <v>212</v>
      </c>
      <c r="C58" s="19" t="s">
        <v>397</v>
      </c>
      <c r="D58" s="19" t="s">
        <v>224</v>
      </c>
      <c r="E58" s="20" t="s">
        <v>398</v>
      </c>
      <c r="F58" s="21" t="s">
        <v>399</v>
      </c>
    </row>
    <row r="59" spans="1:6" ht="39.75" customHeight="1" x14ac:dyDescent="0.2">
      <c r="A59" s="22" t="s">
        <v>396</v>
      </c>
      <c r="B59" s="19" t="s">
        <v>216</v>
      </c>
      <c r="C59" s="19" t="s">
        <v>400</v>
      </c>
      <c r="D59" s="19" t="s">
        <v>224</v>
      </c>
      <c r="E59" s="20" t="s">
        <v>401</v>
      </c>
      <c r="F59" s="21" t="s">
        <v>402</v>
      </c>
    </row>
    <row r="60" spans="1:6" ht="39.75" customHeight="1" x14ac:dyDescent="0.2">
      <c r="A60" s="22" t="s">
        <v>396</v>
      </c>
      <c r="B60" s="19" t="s">
        <v>222</v>
      </c>
      <c r="C60" s="19" t="s">
        <v>403</v>
      </c>
      <c r="D60" s="19" t="s">
        <v>202</v>
      </c>
      <c r="E60" s="20" t="s">
        <v>404</v>
      </c>
      <c r="F60" s="21" t="s">
        <v>405</v>
      </c>
    </row>
    <row r="61" spans="1:6" ht="39.75" customHeight="1" x14ac:dyDescent="0.2">
      <c r="A61" s="22" t="s">
        <v>396</v>
      </c>
      <c r="B61" s="19" t="s">
        <v>227</v>
      </c>
      <c r="C61" s="19" t="s">
        <v>406</v>
      </c>
      <c r="D61" s="19" t="s">
        <v>224</v>
      </c>
      <c r="E61" s="20" t="s">
        <v>407</v>
      </c>
      <c r="F61" s="21" t="s">
        <v>408</v>
      </c>
    </row>
    <row r="62" spans="1:6" ht="39.75" customHeight="1" x14ac:dyDescent="0.2">
      <c r="A62" s="22" t="s">
        <v>396</v>
      </c>
      <c r="B62" s="19" t="s">
        <v>231</v>
      </c>
      <c r="C62" s="19" t="s">
        <v>409</v>
      </c>
      <c r="D62" s="19" t="s">
        <v>224</v>
      </c>
      <c r="E62" s="20" t="s">
        <v>410</v>
      </c>
      <c r="F62" s="21" t="s">
        <v>411</v>
      </c>
    </row>
    <row r="63" spans="1:6" ht="39.75" customHeight="1" x14ac:dyDescent="0.2">
      <c r="A63" s="18" t="s">
        <v>412</v>
      </c>
      <c r="B63" s="19" t="s">
        <v>236</v>
      </c>
      <c r="C63" s="19" t="s">
        <v>413</v>
      </c>
      <c r="D63" s="19" t="s">
        <v>414</v>
      </c>
      <c r="E63" s="20" t="s">
        <v>415</v>
      </c>
      <c r="F63" s="21" t="s">
        <v>251</v>
      </c>
    </row>
    <row r="64" spans="1:6" ht="39.75" customHeight="1" x14ac:dyDescent="0.2">
      <c r="A64" s="18" t="s">
        <v>416</v>
      </c>
      <c r="B64" s="19" t="s">
        <v>240</v>
      </c>
      <c r="C64" s="19" t="s">
        <v>417</v>
      </c>
      <c r="D64" s="19" t="s">
        <v>365</v>
      </c>
      <c r="E64" s="20" t="s">
        <v>418</v>
      </c>
      <c r="F64" s="21" t="s">
        <v>419</v>
      </c>
    </row>
    <row r="65" spans="1:6" ht="39.75" customHeight="1" x14ac:dyDescent="0.2">
      <c r="A65" s="22" t="s">
        <v>416</v>
      </c>
      <c r="B65" s="19" t="s">
        <v>244</v>
      </c>
      <c r="C65" s="19" t="s">
        <v>420</v>
      </c>
      <c r="D65" s="19" t="s">
        <v>387</v>
      </c>
      <c r="E65" s="20" t="s">
        <v>296</v>
      </c>
      <c r="F65" s="21" t="s">
        <v>296</v>
      </c>
    </row>
    <row r="66" spans="1:6" ht="39.75" customHeight="1" x14ac:dyDescent="0.2">
      <c r="A66" s="22" t="s">
        <v>416</v>
      </c>
      <c r="B66" s="19" t="s">
        <v>248</v>
      </c>
      <c r="C66" s="19" t="s">
        <v>421</v>
      </c>
      <c r="D66" s="19" t="s">
        <v>422</v>
      </c>
      <c r="E66" s="20" t="s">
        <v>423</v>
      </c>
      <c r="F66" s="21" t="s">
        <v>356</v>
      </c>
    </row>
    <row r="67" spans="1:6" ht="39.75" customHeight="1" x14ac:dyDescent="0.2">
      <c r="A67" s="22" t="s">
        <v>416</v>
      </c>
      <c r="B67" s="19" t="s">
        <v>253</v>
      </c>
      <c r="C67" s="19" t="s">
        <v>424</v>
      </c>
      <c r="D67" s="19" t="s">
        <v>202</v>
      </c>
      <c r="E67" s="20" t="s">
        <v>425</v>
      </c>
      <c r="F67" s="21" t="s">
        <v>426</v>
      </c>
    </row>
    <row r="68" spans="1:6" ht="39.75" customHeight="1" x14ac:dyDescent="0.2">
      <c r="A68" s="18" t="s">
        <v>427</v>
      </c>
      <c r="B68" s="19" t="s">
        <v>258</v>
      </c>
      <c r="C68" s="19" t="s">
        <v>428</v>
      </c>
      <c r="D68" s="19" t="s">
        <v>224</v>
      </c>
      <c r="E68" s="20" t="s">
        <v>429</v>
      </c>
      <c r="F68" s="21" t="s">
        <v>430</v>
      </c>
    </row>
    <row r="69" spans="1:6" ht="39.75" customHeight="1" x14ac:dyDescent="0.2">
      <c r="A69" s="22" t="s">
        <v>427</v>
      </c>
      <c r="B69" s="19" t="s">
        <v>326</v>
      </c>
      <c r="C69" s="19" t="s">
        <v>431</v>
      </c>
      <c r="D69" s="19" t="s">
        <v>224</v>
      </c>
      <c r="E69" s="20" t="s">
        <v>432</v>
      </c>
      <c r="F69" s="21" t="s">
        <v>433</v>
      </c>
    </row>
    <row r="70" spans="1:6" ht="39.75" customHeight="1" x14ac:dyDescent="0.2">
      <c r="A70" s="22" t="s">
        <v>427</v>
      </c>
      <c r="B70" s="19" t="s">
        <v>331</v>
      </c>
      <c r="C70" s="19" t="s">
        <v>434</v>
      </c>
      <c r="D70" s="19" t="s">
        <v>202</v>
      </c>
      <c r="E70" s="20" t="s">
        <v>435</v>
      </c>
      <c r="F70" s="21" t="s">
        <v>436</v>
      </c>
    </row>
    <row r="71" spans="1:6" ht="39.75" customHeight="1" x14ac:dyDescent="0.2">
      <c r="A71" s="22" t="s">
        <v>427</v>
      </c>
      <c r="B71" s="19" t="s">
        <v>335</v>
      </c>
      <c r="C71" s="19" t="s">
        <v>437</v>
      </c>
      <c r="D71" s="19" t="s">
        <v>224</v>
      </c>
      <c r="E71" s="20" t="s">
        <v>438</v>
      </c>
      <c r="F71" s="21" t="s">
        <v>439</v>
      </c>
    </row>
    <row r="72" spans="1:6" ht="39.75" customHeight="1" x14ac:dyDescent="0.2">
      <c r="A72" s="22" t="s">
        <v>427</v>
      </c>
      <c r="B72" s="19" t="s">
        <v>339</v>
      </c>
      <c r="C72" s="19" t="s">
        <v>440</v>
      </c>
      <c r="D72" s="19" t="s">
        <v>224</v>
      </c>
      <c r="E72" s="20" t="s">
        <v>441</v>
      </c>
      <c r="F72" s="21" t="s">
        <v>442</v>
      </c>
    </row>
    <row r="73" spans="1:6" ht="39.75" customHeight="1" x14ac:dyDescent="0.2">
      <c r="A73" s="22" t="s">
        <v>427</v>
      </c>
      <c r="B73" s="19" t="s">
        <v>344</v>
      </c>
      <c r="C73" s="19" t="s">
        <v>443</v>
      </c>
      <c r="D73" s="19" t="s">
        <v>224</v>
      </c>
      <c r="E73" s="20" t="s">
        <v>444</v>
      </c>
      <c r="F73" s="21" t="s">
        <v>445</v>
      </c>
    </row>
    <row r="74" spans="1:6" ht="39.75" customHeight="1" x14ac:dyDescent="0.2">
      <c r="A74" s="22" t="s">
        <v>427</v>
      </c>
      <c r="B74" s="19" t="s">
        <v>348</v>
      </c>
      <c r="C74" s="19" t="s">
        <v>446</v>
      </c>
      <c r="D74" s="19" t="s">
        <v>224</v>
      </c>
      <c r="E74" s="20" t="s">
        <v>447</v>
      </c>
      <c r="F74" s="21" t="s">
        <v>448</v>
      </c>
    </row>
    <row r="75" spans="1:6" ht="39.75" customHeight="1" x14ac:dyDescent="0.2">
      <c r="A75" s="22" t="s">
        <v>427</v>
      </c>
      <c r="B75" s="19" t="s">
        <v>352</v>
      </c>
      <c r="C75" s="19" t="s">
        <v>449</v>
      </c>
      <c r="D75" s="19" t="s">
        <v>224</v>
      </c>
      <c r="E75" s="20" t="s">
        <v>450</v>
      </c>
      <c r="F75" s="21" t="s">
        <v>251</v>
      </c>
    </row>
    <row r="76" spans="1:6" ht="39.75" customHeight="1" x14ac:dyDescent="0.2">
      <c r="A76" s="18" t="s">
        <v>451</v>
      </c>
      <c r="B76" s="19" t="s">
        <v>358</v>
      </c>
      <c r="C76" s="19" t="s">
        <v>452</v>
      </c>
      <c r="D76" s="19" t="s">
        <v>224</v>
      </c>
      <c r="E76" s="20" t="s">
        <v>453</v>
      </c>
      <c r="F76" s="21" t="s">
        <v>454</v>
      </c>
    </row>
    <row r="77" spans="1:6" ht="39.75" customHeight="1" x14ac:dyDescent="0.2">
      <c r="A77" s="22" t="s">
        <v>451</v>
      </c>
      <c r="B77" s="19" t="s">
        <v>363</v>
      </c>
      <c r="C77" s="19" t="s">
        <v>455</v>
      </c>
      <c r="D77" s="19" t="s">
        <v>224</v>
      </c>
      <c r="E77" s="20" t="s">
        <v>456</v>
      </c>
      <c r="F77" s="21" t="s">
        <v>457</v>
      </c>
    </row>
    <row r="78" spans="1:6" ht="39.75" customHeight="1" x14ac:dyDescent="0.2">
      <c r="A78" s="22" t="s">
        <v>451</v>
      </c>
      <c r="B78" s="19" t="s">
        <v>368</v>
      </c>
      <c r="C78" s="19" t="s">
        <v>458</v>
      </c>
      <c r="D78" s="19" t="s">
        <v>218</v>
      </c>
      <c r="E78" s="20" t="s">
        <v>459</v>
      </c>
      <c r="F78" s="21" t="s">
        <v>460</v>
      </c>
    </row>
    <row r="79" spans="1:6" ht="39.75" customHeight="1" x14ac:dyDescent="0.2">
      <c r="A79" s="18" t="s">
        <v>461</v>
      </c>
      <c r="B79" s="19" t="s">
        <v>372</v>
      </c>
      <c r="C79" s="19" t="s">
        <v>462</v>
      </c>
      <c r="D79" s="19" t="s">
        <v>463</v>
      </c>
      <c r="E79" s="20" t="s">
        <v>464</v>
      </c>
      <c r="F79" s="21" t="s">
        <v>465</v>
      </c>
    </row>
    <row r="80" spans="1:6" ht="39.75" customHeight="1" x14ac:dyDescent="0.2">
      <c r="A80" s="22" t="s">
        <v>461</v>
      </c>
      <c r="B80" s="19" t="s">
        <v>377</v>
      </c>
      <c r="C80" s="19" t="s">
        <v>466</v>
      </c>
      <c r="D80" s="19" t="s">
        <v>224</v>
      </c>
      <c r="E80" s="20" t="s">
        <v>467</v>
      </c>
      <c r="F80" s="21" t="s">
        <v>468</v>
      </c>
    </row>
    <row r="81" spans="1:6" ht="39.75" customHeight="1" x14ac:dyDescent="0.2">
      <c r="A81" s="22" t="s">
        <v>461</v>
      </c>
      <c r="B81" s="19" t="s">
        <v>469</v>
      </c>
      <c r="C81" s="19" t="s">
        <v>470</v>
      </c>
      <c r="D81" s="19" t="s">
        <v>218</v>
      </c>
      <c r="E81" s="20" t="s">
        <v>471</v>
      </c>
      <c r="F81" s="21" t="s">
        <v>472</v>
      </c>
    </row>
    <row r="82" spans="1:6" ht="39.75" customHeight="1" x14ac:dyDescent="0.2">
      <c r="A82" s="18" t="s">
        <v>473</v>
      </c>
      <c r="B82" s="19" t="s">
        <v>474</v>
      </c>
      <c r="C82" s="19" t="s">
        <v>475</v>
      </c>
      <c r="D82" s="19" t="s">
        <v>476</v>
      </c>
      <c r="E82" s="20" t="s">
        <v>477</v>
      </c>
      <c r="F82" s="21" t="s">
        <v>478</v>
      </c>
    </row>
    <row r="84" spans="1:6" ht="15" customHeight="1" x14ac:dyDescent="0.2">
      <c r="A84" s="112" t="s">
        <v>479</v>
      </c>
      <c r="B84" s="96"/>
      <c r="C84" s="96"/>
      <c r="D84" s="96"/>
      <c r="E84" s="96"/>
      <c r="F84" s="96"/>
    </row>
  </sheetData>
  <mergeCells count="4">
    <mergeCell ref="A3:F3"/>
    <mergeCell ref="A2:F2"/>
    <mergeCell ref="A1:F1"/>
    <mergeCell ref="A84:F8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8"/>
  <sheetViews>
    <sheetView showGridLines="0" zoomScaleNormal="100" workbookViewId="0">
      <pane ySplit="6" topLeftCell="A7" activePane="bottomLeft" state="frozen"/>
      <selection pane="bottomLeft"/>
    </sheetView>
  </sheetViews>
  <sheetFormatPr baseColWidth="10" defaultColWidth="8.6640625" defaultRowHeight="15" x14ac:dyDescent="0.2"/>
  <cols>
    <col min="1" max="1" width="5" customWidth="1"/>
    <col min="2" max="2" width="12" customWidth="1"/>
    <col min="3" max="3" width="22" customWidth="1"/>
    <col min="4" max="4" width="44" customWidth="1"/>
    <col min="5" max="5" width="14" customWidth="1"/>
    <col min="6" max="6" width="12" customWidth="1"/>
  </cols>
  <sheetData>
    <row r="1" spans="1:9" ht="25.5" customHeight="1" x14ac:dyDescent="0.2">
      <c r="A1" s="111" t="s">
        <v>184</v>
      </c>
      <c r="B1" s="96"/>
      <c r="C1" s="96"/>
      <c r="D1" s="96"/>
      <c r="E1" s="96"/>
      <c r="F1" s="96"/>
      <c r="G1" s="96"/>
      <c r="H1" s="96"/>
      <c r="I1" s="96"/>
    </row>
    <row r="2" spans="1:9" ht="19.5" customHeight="1" x14ac:dyDescent="0.2">
      <c r="A2" s="110" t="s">
        <v>480</v>
      </c>
      <c r="B2" s="96"/>
      <c r="C2" s="96"/>
      <c r="D2" s="96"/>
      <c r="E2" s="96"/>
      <c r="F2" s="96"/>
      <c r="G2" s="96"/>
      <c r="H2" s="96"/>
      <c r="I2" s="96"/>
    </row>
    <row r="3" spans="1:9" ht="43.5" customHeight="1" x14ac:dyDescent="0.2">
      <c r="A3" s="109" t="s">
        <v>481</v>
      </c>
      <c r="B3" s="96"/>
      <c r="C3" s="96"/>
      <c r="D3" s="96"/>
      <c r="E3" s="96"/>
      <c r="F3" s="96"/>
      <c r="G3" s="96"/>
      <c r="H3" s="96"/>
      <c r="I3" s="96"/>
    </row>
    <row r="4" spans="1:9" ht="6" customHeight="1" x14ac:dyDescent="0.2"/>
    <row r="5" spans="1:9" ht="25.5" customHeight="1" x14ac:dyDescent="0.2">
      <c r="A5" s="17" t="s">
        <v>188</v>
      </c>
      <c r="B5" s="17" t="s">
        <v>482</v>
      </c>
      <c r="C5" s="17" t="s">
        <v>483</v>
      </c>
      <c r="D5" s="17" t="s">
        <v>484</v>
      </c>
      <c r="E5" s="17" t="s">
        <v>11</v>
      </c>
      <c r="F5" s="17" t="s">
        <v>485</v>
      </c>
      <c r="G5" s="17" t="s">
        <v>486</v>
      </c>
      <c r="H5" s="17" t="s">
        <v>487</v>
      </c>
      <c r="I5" s="17" t="s">
        <v>488</v>
      </c>
    </row>
    <row r="6" spans="1:9" ht="39.75" customHeight="1" x14ac:dyDescent="0.2">
      <c r="A6" s="24" t="s">
        <v>489</v>
      </c>
      <c r="B6" s="24" t="s">
        <v>490</v>
      </c>
      <c r="C6" s="24" t="s">
        <v>491</v>
      </c>
      <c r="D6" s="24" t="s">
        <v>492</v>
      </c>
      <c r="E6" s="24" t="s">
        <v>493</v>
      </c>
      <c r="F6" s="24" t="s">
        <v>494</v>
      </c>
      <c r="G6" s="24" t="s">
        <v>495</v>
      </c>
      <c r="H6" s="24" t="s">
        <v>496</v>
      </c>
      <c r="I6" s="24" t="s">
        <v>231</v>
      </c>
    </row>
    <row r="7" spans="1:9" ht="33.75" customHeight="1" x14ac:dyDescent="0.2">
      <c r="A7" s="19">
        <v>1</v>
      </c>
      <c r="B7" s="21"/>
      <c r="C7" s="21" t="s">
        <v>497</v>
      </c>
      <c r="D7" s="21" t="s">
        <v>498</v>
      </c>
      <c r="E7" s="21" t="s">
        <v>23</v>
      </c>
      <c r="F7" s="21">
        <v>749</v>
      </c>
      <c r="G7" s="21">
        <v>10</v>
      </c>
      <c r="H7" s="21">
        <v>3</v>
      </c>
      <c r="I7" s="21">
        <v>0</v>
      </c>
    </row>
    <row r="8" spans="1:9" ht="33.75" customHeight="1" x14ac:dyDescent="0.2">
      <c r="A8" s="19">
        <v>2</v>
      </c>
      <c r="B8" s="21"/>
      <c r="C8" s="21" t="s">
        <v>497</v>
      </c>
      <c r="D8" s="21" t="s">
        <v>499</v>
      </c>
      <c r="E8" s="21" t="s">
        <v>23</v>
      </c>
      <c r="F8" s="25">
        <v>1058</v>
      </c>
      <c r="G8" s="21">
        <v>22</v>
      </c>
      <c r="H8" s="21">
        <v>5</v>
      </c>
      <c r="I8" s="21">
        <v>0</v>
      </c>
    </row>
    <row r="9" spans="1:9" ht="33.75" customHeight="1" x14ac:dyDescent="0.2">
      <c r="A9" s="19">
        <v>3</v>
      </c>
      <c r="B9" s="21"/>
      <c r="C9" s="21" t="s">
        <v>500</v>
      </c>
      <c r="D9" s="21" t="s">
        <v>311</v>
      </c>
      <c r="E9" s="21" t="s">
        <v>23</v>
      </c>
      <c r="F9" s="21">
        <v>414</v>
      </c>
      <c r="G9" s="21">
        <v>7</v>
      </c>
      <c r="H9" s="21">
        <v>4</v>
      </c>
      <c r="I9" s="21">
        <v>0</v>
      </c>
    </row>
    <row r="10" spans="1:9" ht="33.75" customHeight="1" x14ac:dyDescent="0.2">
      <c r="A10" s="19">
        <v>4</v>
      </c>
      <c r="B10" s="21"/>
      <c r="C10" s="21" t="s">
        <v>500</v>
      </c>
      <c r="D10" s="21" t="s">
        <v>318</v>
      </c>
      <c r="E10" s="21" t="s">
        <v>23</v>
      </c>
      <c r="F10" s="21">
        <v>260</v>
      </c>
      <c r="G10" s="21">
        <v>8</v>
      </c>
      <c r="H10" s="21">
        <v>1</v>
      </c>
      <c r="I10" s="21">
        <v>0</v>
      </c>
    </row>
    <row r="11" spans="1:9" ht="33.75" customHeight="1" x14ac:dyDescent="0.2">
      <c r="A11" s="19">
        <v>5</v>
      </c>
      <c r="B11" s="21"/>
      <c r="C11" s="21" t="s">
        <v>501</v>
      </c>
      <c r="D11" s="21" t="s">
        <v>502</v>
      </c>
      <c r="E11" s="21" t="s">
        <v>23</v>
      </c>
      <c r="F11" s="21">
        <v>326</v>
      </c>
      <c r="G11" s="21">
        <v>8</v>
      </c>
      <c r="H11" s="21">
        <v>2</v>
      </c>
      <c r="I11" s="21">
        <v>0</v>
      </c>
    </row>
    <row r="12" spans="1:9" ht="33.75" customHeight="1" x14ac:dyDescent="0.2">
      <c r="A12" s="19">
        <v>6</v>
      </c>
      <c r="B12" s="21"/>
      <c r="C12" s="21" t="s">
        <v>503</v>
      </c>
      <c r="D12" s="21" t="s">
        <v>504</v>
      </c>
      <c r="E12" s="21" t="s">
        <v>23</v>
      </c>
      <c r="F12" s="21">
        <v>366</v>
      </c>
      <c r="G12" s="21">
        <v>12</v>
      </c>
      <c r="H12" s="21">
        <v>0</v>
      </c>
      <c r="I12" s="21">
        <v>0</v>
      </c>
    </row>
    <row r="13" spans="1:9" ht="33.75" customHeight="1" x14ac:dyDescent="0.2">
      <c r="A13" s="19">
        <v>7</v>
      </c>
      <c r="B13" s="21"/>
      <c r="C13" s="21" t="s">
        <v>500</v>
      </c>
      <c r="D13" s="21" t="s">
        <v>505</v>
      </c>
      <c r="E13" s="21" t="s">
        <v>23</v>
      </c>
      <c r="F13" s="21">
        <v>249</v>
      </c>
      <c r="G13" s="21">
        <v>5</v>
      </c>
      <c r="H13" s="21">
        <v>0</v>
      </c>
      <c r="I13" s="21">
        <v>0</v>
      </c>
    </row>
    <row r="14" spans="1:9" ht="33.75" customHeight="1" x14ac:dyDescent="0.2">
      <c r="A14" s="19">
        <v>8</v>
      </c>
      <c r="B14" s="21"/>
      <c r="C14" s="21" t="s">
        <v>506</v>
      </c>
      <c r="D14" s="21" t="s">
        <v>507</v>
      </c>
      <c r="E14" s="21" t="s">
        <v>23</v>
      </c>
      <c r="F14" s="21">
        <v>422</v>
      </c>
      <c r="G14" s="21">
        <v>7</v>
      </c>
      <c r="H14" s="21">
        <v>3</v>
      </c>
      <c r="I14" s="21">
        <v>0</v>
      </c>
    </row>
    <row r="15" spans="1:9" ht="33.75" customHeight="1" x14ac:dyDescent="0.2">
      <c r="A15" s="19">
        <v>9</v>
      </c>
      <c r="B15" s="21"/>
      <c r="C15" s="21" t="s">
        <v>500</v>
      </c>
      <c r="D15" s="21" t="s">
        <v>508</v>
      </c>
      <c r="E15" s="21" t="s">
        <v>23</v>
      </c>
      <c r="F15" s="21">
        <v>573</v>
      </c>
      <c r="G15" s="21">
        <v>7</v>
      </c>
      <c r="H15" s="21">
        <v>0</v>
      </c>
      <c r="I15" s="21">
        <v>0</v>
      </c>
    </row>
    <row r="16" spans="1:9" ht="33.75" customHeight="1" x14ac:dyDescent="0.2">
      <c r="A16" s="19">
        <v>10</v>
      </c>
      <c r="B16" s="21"/>
      <c r="C16" s="21"/>
      <c r="D16" s="21"/>
      <c r="E16" s="21"/>
      <c r="F16" s="21"/>
      <c r="G16" s="21"/>
      <c r="H16" s="21"/>
      <c r="I16" s="21"/>
    </row>
    <row r="18" spans="1:9" ht="15" customHeight="1" x14ac:dyDescent="0.2">
      <c r="A18" s="112" t="s">
        <v>509</v>
      </c>
      <c r="B18" s="96"/>
      <c r="C18" s="96"/>
      <c r="D18" s="96"/>
      <c r="E18" s="96"/>
      <c r="F18" s="96"/>
      <c r="G18" s="96"/>
      <c r="H18" s="96"/>
      <c r="I18" s="96"/>
    </row>
  </sheetData>
  <mergeCells count="4">
    <mergeCell ref="A1:I1"/>
    <mergeCell ref="A18:I18"/>
    <mergeCell ref="A2:I2"/>
    <mergeCell ref="A3:I3"/>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8"/>
  <sheetViews>
    <sheetView showGridLines="0" zoomScaleNormal="100" workbookViewId="0"/>
  </sheetViews>
  <sheetFormatPr baseColWidth="10" defaultColWidth="8.6640625" defaultRowHeight="15" x14ac:dyDescent="0.2"/>
  <cols>
    <col min="1" max="1" width="26" customWidth="1"/>
    <col min="2" max="2" width="100" customWidth="1"/>
  </cols>
  <sheetData>
    <row r="1" spans="1:2" ht="21.75" customHeight="1" x14ac:dyDescent="0.2">
      <c r="A1" s="114" t="s">
        <v>510</v>
      </c>
      <c r="B1" s="96"/>
    </row>
    <row r="2" spans="1:2" ht="15.75" customHeight="1" x14ac:dyDescent="0.2">
      <c r="A2" s="113" t="s">
        <v>511</v>
      </c>
      <c r="B2" s="96"/>
    </row>
    <row r="4" spans="1:2" ht="15" customHeight="1" x14ac:dyDescent="0.2">
      <c r="A4" s="26" t="s">
        <v>512</v>
      </c>
    </row>
    <row r="5" spans="1:2" ht="57.75" customHeight="1" x14ac:dyDescent="0.2">
      <c r="A5" s="27" t="s">
        <v>513</v>
      </c>
      <c r="B5" s="28" t="s">
        <v>514</v>
      </c>
    </row>
    <row r="6" spans="1:2" ht="57.75" customHeight="1" x14ac:dyDescent="0.2">
      <c r="A6" s="27" t="s">
        <v>515</v>
      </c>
      <c r="B6" s="28" t="s">
        <v>516</v>
      </c>
    </row>
    <row r="7" spans="1:2" ht="57.75" customHeight="1" x14ac:dyDescent="0.2">
      <c r="A7" s="27" t="s">
        <v>517</v>
      </c>
      <c r="B7" s="28" t="s">
        <v>518</v>
      </c>
    </row>
    <row r="8" spans="1:2" ht="30" customHeight="1" x14ac:dyDescent="0.2">
      <c r="A8" s="29" t="s">
        <v>519</v>
      </c>
    </row>
    <row r="9" spans="1:2" ht="15" customHeight="1" x14ac:dyDescent="0.2">
      <c r="A9" s="27" t="s">
        <v>520</v>
      </c>
      <c r="B9" s="30" t="s">
        <v>521</v>
      </c>
    </row>
    <row r="10" spans="1:2" ht="25.5" customHeight="1" x14ac:dyDescent="0.2">
      <c r="A10" s="27" t="s">
        <v>522</v>
      </c>
      <c r="B10" s="30" t="s">
        <v>523</v>
      </c>
    </row>
    <row r="11" spans="1:2" ht="25.5" customHeight="1" x14ac:dyDescent="0.2">
      <c r="A11" s="27" t="s">
        <v>524</v>
      </c>
      <c r="B11" s="30" t="s">
        <v>525</v>
      </c>
    </row>
    <row r="12" spans="1:2" ht="25.5" customHeight="1" x14ac:dyDescent="0.2">
      <c r="A12" s="27" t="s">
        <v>526</v>
      </c>
      <c r="B12" s="30" t="s">
        <v>527</v>
      </c>
    </row>
    <row r="13" spans="1:2" ht="25.5" customHeight="1" x14ac:dyDescent="0.2"/>
    <row r="14" spans="1:2" ht="25.5" customHeight="1" x14ac:dyDescent="0.2">
      <c r="A14" s="26" t="s">
        <v>528</v>
      </c>
    </row>
    <row r="15" spans="1:2" ht="25.5" customHeight="1" x14ac:dyDescent="0.2">
      <c r="A15" s="31" t="s">
        <v>529</v>
      </c>
      <c r="B15" s="28" t="s">
        <v>530</v>
      </c>
    </row>
    <row r="16" spans="1:2" ht="25.5" customHeight="1" x14ac:dyDescent="0.2">
      <c r="A16" s="31" t="s">
        <v>529</v>
      </c>
      <c r="B16" s="28" t="s">
        <v>531</v>
      </c>
    </row>
    <row r="17" spans="1:2" ht="25.5" customHeight="1" x14ac:dyDescent="0.2">
      <c r="A17" s="31" t="s">
        <v>529</v>
      </c>
      <c r="B17" s="28" t="s">
        <v>532</v>
      </c>
    </row>
    <row r="18" spans="1:2" ht="25.5" customHeight="1" x14ac:dyDescent="0.2">
      <c r="A18" s="31" t="s">
        <v>529</v>
      </c>
      <c r="B18" s="28" t="s">
        <v>533</v>
      </c>
    </row>
    <row r="19" spans="1:2" ht="15" customHeight="1" x14ac:dyDescent="0.2">
      <c r="A19" s="32" t="s">
        <v>529</v>
      </c>
      <c r="B19" s="30" t="s">
        <v>534</v>
      </c>
    </row>
    <row r="20" spans="1:2" ht="61.5" customHeight="1" x14ac:dyDescent="0.2">
      <c r="A20" s="31" t="s">
        <v>529</v>
      </c>
      <c r="B20" s="28" t="s">
        <v>535</v>
      </c>
    </row>
    <row r="21" spans="1:2" ht="61.5" customHeight="1" x14ac:dyDescent="0.2">
      <c r="A21" s="31" t="s">
        <v>529</v>
      </c>
      <c r="B21" s="28" t="s">
        <v>536</v>
      </c>
    </row>
    <row r="22" spans="1:2" ht="61.5" customHeight="1" x14ac:dyDescent="0.2">
      <c r="A22" s="31" t="s">
        <v>529</v>
      </c>
      <c r="B22" s="28" t="s">
        <v>537</v>
      </c>
    </row>
    <row r="23" spans="1:2" x14ac:dyDescent="0.2">
      <c r="A23" s="31" t="s">
        <v>529</v>
      </c>
      <c r="B23" s="28" t="s">
        <v>538</v>
      </c>
    </row>
    <row r="25" spans="1:2" x14ac:dyDescent="0.2">
      <c r="A25" s="26" t="s">
        <v>539</v>
      </c>
    </row>
    <row r="26" spans="1:2" ht="51" customHeight="1" x14ac:dyDescent="0.2">
      <c r="A26" s="27" t="s">
        <v>540</v>
      </c>
      <c r="B26" s="28" t="s">
        <v>541</v>
      </c>
    </row>
    <row r="27" spans="1:2" ht="38.25" customHeight="1" x14ac:dyDescent="0.2">
      <c r="A27" s="27" t="s">
        <v>542</v>
      </c>
      <c r="B27" s="28" t="s">
        <v>543</v>
      </c>
    </row>
    <row r="28" spans="1:2" ht="25.5" customHeight="1" x14ac:dyDescent="0.2">
      <c r="A28" s="27" t="s">
        <v>544</v>
      </c>
      <c r="B28" s="28" t="s">
        <v>545</v>
      </c>
    </row>
  </sheetData>
  <mergeCells count="2">
    <mergeCell ref="A2:B2"/>
    <mergeCell ref="A1:B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39"/>
  <sheetViews>
    <sheetView showGridLines="0" tabSelected="1" zoomScaleNormal="100" workbookViewId="0">
      <pane ySplit="4" topLeftCell="A16" activePane="bottomLeft" state="frozen"/>
      <selection pane="bottomLeft" activeCell="F21" sqref="F21"/>
    </sheetView>
  </sheetViews>
  <sheetFormatPr baseColWidth="10" defaultColWidth="8.6640625" defaultRowHeight="15" x14ac:dyDescent="0.2"/>
  <cols>
    <col min="1" max="1" width="5" customWidth="1"/>
    <col min="2" max="2" width="9" customWidth="1"/>
    <col min="3" max="3" width="11" customWidth="1"/>
    <col min="4" max="4" width="12" customWidth="1"/>
    <col min="5" max="5" width="34" customWidth="1"/>
    <col min="6" max="6" width="70" customWidth="1"/>
    <col min="7" max="8" width="16" customWidth="1"/>
    <col min="9" max="9" width="24" customWidth="1"/>
    <col min="10" max="10" width="26.5" customWidth="1"/>
  </cols>
  <sheetData>
    <row r="1" spans="1:13" ht="21.75" customHeight="1" x14ac:dyDescent="0.2">
      <c r="A1" s="98" t="s">
        <v>0</v>
      </c>
      <c r="B1" s="96"/>
      <c r="C1" s="96"/>
      <c r="D1" s="96"/>
      <c r="E1" s="96"/>
      <c r="F1" s="96"/>
      <c r="G1" s="96"/>
      <c r="H1" s="96"/>
      <c r="I1" s="96"/>
      <c r="J1" s="96"/>
      <c r="K1" s="96"/>
      <c r="L1" s="96"/>
      <c r="M1" s="96"/>
    </row>
    <row r="2" spans="1:13" ht="42" customHeight="1" x14ac:dyDescent="0.2">
      <c r="A2" s="100" t="s">
        <v>1</v>
      </c>
      <c r="B2" s="96"/>
      <c r="C2" s="96"/>
      <c r="D2" s="96"/>
      <c r="E2" s="96"/>
      <c r="F2" s="96"/>
      <c r="G2" s="96"/>
      <c r="H2" s="96"/>
      <c r="I2" s="96"/>
      <c r="J2" s="96"/>
      <c r="K2" s="96"/>
      <c r="L2" s="96"/>
      <c r="M2" s="96"/>
    </row>
    <row r="3" spans="1:13" ht="140.25" customHeight="1" x14ac:dyDescent="0.2">
      <c r="A3" s="33" t="s">
        <v>2</v>
      </c>
      <c r="B3" s="34">
        <v>46230</v>
      </c>
      <c r="C3" s="99" t="s">
        <v>3</v>
      </c>
      <c r="D3" s="96"/>
      <c r="E3" s="96"/>
      <c r="F3" s="96"/>
      <c r="G3" s="96"/>
      <c r="H3" s="96"/>
      <c r="I3" s="96"/>
      <c r="J3" s="96"/>
      <c r="K3" s="96"/>
      <c r="L3" s="96"/>
      <c r="M3" s="96"/>
    </row>
    <row r="4" spans="1:13" ht="33.75" customHeight="1" x14ac:dyDescent="0.2">
      <c r="A4" s="35" t="s">
        <v>4</v>
      </c>
      <c r="B4" s="35" t="s">
        <v>5</v>
      </c>
      <c r="C4" s="35" t="s">
        <v>6</v>
      </c>
      <c r="D4" s="35" t="s">
        <v>7</v>
      </c>
      <c r="E4" s="35" t="s">
        <v>8</v>
      </c>
      <c r="F4" s="35" t="s">
        <v>9</v>
      </c>
      <c r="G4" s="36" t="s">
        <v>10</v>
      </c>
      <c r="H4" s="36" t="s">
        <v>11</v>
      </c>
      <c r="I4" s="36" t="s">
        <v>12</v>
      </c>
      <c r="J4" s="35" t="s">
        <v>13</v>
      </c>
      <c r="K4" s="37" t="s">
        <v>14</v>
      </c>
      <c r="L4" s="35" t="s">
        <v>15</v>
      </c>
      <c r="M4" s="38" t="s">
        <v>16</v>
      </c>
    </row>
    <row r="5" spans="1:13" ht="129.75" customHeight="1" x14ac:dyDescent="0.2">
      <c r="A5" s="39">
        <v>11</v>
      </c>
      <c r="B5" s="30" t="s">
        <v>17</v>
      </c>
      <c r="C5" s="40" t="s">
        <v>18</v>
      </c>
      <c r="D5" s="41" t="s">
        <v>19</v>
      </c>
      <c r="E5" s="42" t="s">
        <v>20</v>
      </c>
      <c r="F5" s="43" t="s">
        <v>21</v>
      </c>
      <c r="G5" s="44" t="s">
        <v>22</v>
      </c>
      <c r="H5" s="44" t="s">
        <v>23</v>
      </c>
      <c r="I5" s="44" t="s">
        <v>24</v>
      </c>
      <c r="J5" s="45" t="s">
        <v>25</v>
      </c>
      <c r="K5" s="46" t="s">
        <v>26</v>
      </c>
      <c r="L5" s="47" t="s">
        <v>27</v>
      </c>
      <c r="M5" s="48" t="s">
        <v>28</v>
      </c>
    </row>
    <row r="6" spans="1:13" ht="129.75" customHeight="1" x14ac:dyDescent="0.2">
      <c r="A6" s="39">
        <v>12</v>
      </c>
      <c r="B6" s="49" t="s">
        <v>29</v>
      </c>
      <c r="C6" s="50" t="s">
        <v>18</v>
      </c>
      <c r="D6" s="51" t="s">
        <v>30</v>
      </c>
      <c r="E6" s="52" t="s">
        <v>31</v>
      </c>
      <c r="F6" s="53" t="s">
        <v>32</v>
      </c>
      <c r="G6" s="44" t="s">
        <v>22</v>
      </c>
      <c r="H6" s="44" t="s">
        <v>33</v>
      </c>
      <c r="I6" s="44" t="s">
        <v>34</v>
      </c>
      <c r="J6" s="54">
        <f>IF($B$3="","",$B$3+0)</f>
        <v>46230</v>
      </c>
      <c r="K6" s="55" t="s">
        <v>35</v>
      </c>
      <c r="L6" s="56"/>
      <c r="M6" t="s">
        <v>36</v>
      </c>
    </row>
    <row r="7" spans="1:13" ht="129.75" customHeight="1" x14ac:dyDescent="0.2">
      <c r="A7" s="39">
        <v>13</v>
      </c>
      <c r="B7" s="30" t="s">
        <v>29</v>
      </c>
      <c r="C7" s="40" t="s">
        <v>37</v>
      </c>
      <c r="D7" s="57" t="s">
        <v>38</v>
      </c>
      <c r="E7" s="42" t="s">
        <v>39</v>
      </c>
      <c r="F7" s="43" t="s">
        <v>40</v>
      </c>
      <c r="G7" s="44" t="s">
        <v>41</v>
      </c>
      <c r="H7" s="44" t="s">
        <v>42</v>
      </c>
      <c r="I7" s="44" t="s">
        <v>43</v>
      </c>
      <c r="J7" s="45">
        <f>IF($B$3="","",$B$3+1)</f>
        <v>46231</v>
      </c>
      <c r="K7" s="55" t="s">
        <v>44</v>
      </c>
      <c r="L7" s="47"/>
      <c r="M7" t="s">
        <v>45</v>
      </c>
    </row>
    <row r="8" spans="1:13" ht="79.5" customHeight="1" x14ac:dyDescent="0.2">
      <c r="A8" s="39">
        <v>14</v>
      </c>
      <c r="B8" s="49" t="s">
        <v>29</v>
      </c>
      <c r="C8" s="50" t="s">
        <v>46</v>
      </c>
      <c r="D8" s="51" t="s">
        <v>19</v>
      </c>
      <c r="E8" s="52" t="s">
        <v>47</v>
      </c>
      <c r="F8" s="53" t="s">
        <v>48</v>
      </c>
      <c r="G8" s="44" t="s">
        <v>22</v>
      </c>
      <c r="H8" s="44" t="s">
        <v>23</v>
      </c>
      <c r="I8" s="44" t="s">
        <v>24</v>
      </c>
      <c r="J8" s="54">
        <f>IF($B$3="","",$B$3+2)</f>
        <v>46232</v>
      </c>
      <c r="K8" s="58" t="s">
        <v>49</v>
      </c>
      <c r="L8" s="56"/>
      <c r="M8" t="s">
        <v>50</v>
      </c>
    </row>
    <row r="9" spans="1:13" ht="129.75" customHeight="1" x14ac:dyDescent="0.2">
      <c r="A9" s="39">
        <v>15</v>
      </c>
      <c r="B9" s="30" t="s">
        <v>29</v>
      </c>
      <c r="C9" s="40" t="s">
        <v>46</v>
      </c>
      <c r="D9" s="59" t="s">
        <v>51</v>
      </c>
      <c r="E9" s="42" t="s">
        <v>52</v>
      </c>
      <c r="F9" s="43" t="s">
        <v>53</v>
      </c>
      <c r="G9" s="44" t="s">
        <v>22</v>
      </c>
      <c r="H9" s="44" t="s">
        <v>23</v>
      </c>
      <c r="I9" s="44" t="s">
        <v>54</v>
      </c>
      <c r="J9" s="45">
        <f>IF($B$3="","",$B$3+3)</f>
        <v>46233</v>
      </c>
      <c r="K9" s="58" t="s">
        <v>55</v>
      </c>
      <c r="L9" s="47"/>
      <c r="M9" t="s">
        <v>56</v>
      </c>
    </row>
    <row r="10" spans="1:13" ht="79.5" customHeight="1" x14ac:dyDescent="0.2">
      <c r="A10" s="39">
        <v>16</v>
      </c>
      <c r="B10" s="49" t="s">
        <v>29</v>
      </c>
      <c r="C10" s="50" t="s">
        <v>57</v>
      </c>
      <c r="D10" s="51" t="s">
        <v>30</v>
      </c>
      <c r="E10" s="52" t="s">
        <v>58</v>
      </c>
      <c r="F10" s="53" t="s">
        <v>59</v>
      </c>
      <c r="G10" s="44" t="s">
        <v>22</v>
      </c>
      <c r="H10" s="44" t="s">
        <v>23</v>
      </c>
      <c r="I10" s="44" t="s">
        <v>34</v>
      </c>
      <c r="J10" s="54">
        <f>IF($B$3="","",$B$3+4)</f>
        <v>46234</v>
      </c>
      <c r="K10" s="58" t="s">
        <v>60</v>
      </c>
      <c r="L10" s="56"/>
      <c r="M10" t="s">
        <v>61</v>
      </c>
    </row>
    <row r="11" spans="1:13" ht="79.5" customHeight="1" x14ac:dyDescent="0.2">
      <c r="A11" s="39">
        <v>17</v>
      </c>
      <c r="B11" s="30" t="s">
        <v>62</v>
      </c>
      <c r="C11" s="40" t="s">
        <v>57</v>
      </c>
      <c r="D11" s="41" t="s">
        <v>19</v>
      </c>
      <c r="E11" s="42" t="s">
        <v>63</v>
      </c>
      <c r="F11" s="43" t="s">
        <v>64</v>
      </c>
      <c r="G11" s="44" t="s">
        <v>22</v>
      </c>
      <c r="H11" s="44" t="s">
        <v>23</v>
      </c>
      <c r="I11" s="44" t="s">
        <v>24</v>
      </c>
      <c r="J11" s="45">
        <f>IF($B$3="","",$B$3+7)</f>
        <v>46237</v>
      </c>
      <c r="K11" s="58" t="s">
        <v>49</v>
      </c>
      <c r="L11" s="47"/>
    </row>
    <row r="12" spans="1:13" ht="129.75" customHeight="1" x14ac:dyDescent="0.2">
      <c r="A12" s="39">
        <v>18</v>
      </c>
      <c r="B12" s="49" t="s">
        <v>62</v>
      </c>
      <c r="C12" s="50" t="s">
        <v>57</v>
      </c>
      <c r="D12" s="51" t="s">
        <v>19</v>
      </c>
      <c r="E12" s="52" t="s">
        <v>65</v>
      </c>
      <c r="F12" s="53" t="s">
        <v>66</v>
      </c>
      <c r="G12" s="44" t="s">
        <v>22</v>
      </c>
      <c r="H12" s="44" t="s">
        <v>42</v>
      </c>
      <c r="I12" s="44" t="s">
        <v>24</v>
      </c>
      <c r="J12" s="54">
        <f>IF($B$3="","",$B$3+8)</f>
        <v>46238</v>
      </c>
      <c r="K12" s="58" t="s">
        <v>55</v>
      </c>
      <c r="L12" s="56"/>
    </row>
    <row r="13" spans="1:13" ht="129.75" customHeight="1" x14ac:dyDescent="0.2">
      <c r="A13" s="39">
        <v>19</v>
      </c>
      <c r="B13" s="30" t="s">
        <v>62</v>
      </c>
      <c r="C13" s="40" t="s">
        <v>57</v>
      </c>
      <c r="D13" s="57" t="s">
        <v>38</v>
      </c>
      <c r="E13" s="42" t="s">
        <v>67</v>
      </c>
      <c r="F13" s="43" t="s">
        <v>68</v>
      </c>
      <c r="G13" s="44" t="s">
        <v>22</v>
      </c>
      <c r="H13" s="44" t="s">
        <v>23</v>
      </c>
      <c r="I13" s="44" t="s">
        <v>43</v>
      </c>
      <c r="J13" s="45">
        <f>IF($B$3="","",$B$3+9)</f>
        <v>46239</v>
      </c>
      <c r="K13" s="58" t="s">
        <v>49</v>
      </c>
      <c r="L13" s="47"/>
    </row>
    <row r="14" spans="1:13" ht="129.75" customHeight="1" x14ac:dyDescent="0.2">
      <c r="A14" s="39">
        <v>20</v>
      </c>
      <c r="B14" s="49" t="s">
        <v>62</v>
      </c>
      <c r="C14" s="50" t="s">
        <v>57</v>
      </c>
      <c r="D14" s="51" t="s">
        <v>38</v>
      </c>
      <c r="E14" s="52" t="s">
        <v>69</v>
      </c>
      <c r="F14" s="53" t="s">
        <v>70</v>
      </c>
      <c r="G14" s="44" t="s">
        <v>22</v>
      </c>
      <c r="H14" s="44" t="s">
        <v>42</v>
      </c>
      <c r="I14" s="44" t="s">
        <v>43</v>
      </c>
      <c r="J14" s="54">
        <f>IF($B$3="","",$B$3+10)</f>
        <v>46240</v>
      </c>
      <c r="K14" s="58" t="s">
        <v>55</v>
      </c>
      <c r="L14" s="56"/>
      <c r="M14" s="94"/>
    </row>
    <row r="15" spans="1:13" ht="129.75" customHeight="1" x14ac:dyDescent="0.2">
      <c r="A15" s="39">
        <v>21</v>
      </c>
      <c r="B15" s="30" t="s">
        <v>62</v>
      </c>
      <c r="C15" s="40" t="s">
        <v>71</v>
      </c>
      <c r="D15" s="59" t="s">
        <v>51</v>
      </c>
      <c r="E15" s="42" t="s">
        <v>72</v>
      </c>
      <c r="F15" s="43" t="s">
        <v>883</v>
      </c>
      <c r="G15" s="44" t="s">
        <v>22</v>
      </c>
      <c r="H15" s="44" t="s">
        <v>23</v>
      </c>
      <c r="I15" s="44" t="s">
        <v>54</v>
      </c>
      <c r="J15" s="45">
        <f>IF($B$3="","",$B$3+11)</f>
        <v>46241</v>
      </c>
      <c r="K15" s="58" t="s">
        <v>60</v>
      </c>
      <c r="L15" s="47"/>
    </row>
    <row r="16" spans="1:13" ht="60" customHeight="1" x14ac:dyDescent="0.2">
      <c r="A16" s="39">
        <v>22</v>
      </c>
      <c r="B16" s="49" t="s">
        <v>73</v>
      </c>
      <c r="C16" s="60" t="s">
        <v>74</v>
      </c>
      <c r="D16" s="51" t="s">
        <v>38</v>
      </c>
      <c r="E16" s="52" t="s">
        <v>75</v>
      </c>
      <c r="F16" s="61" t="s">
        <v>76</v>
      </c>
      <c r="G16" s="44" t="s">
        <v>22</v>
      </c>
      <c r="H16" s="44" t="s">
        <v>77</v>
      </c>
      <c r="I16" s="44" t="s">
        <v>43</v>
      </c>
      <c r="J16" s="54">
        <f>IF($B$3="","",$B$3+14)</f>
        <v>46244</v>
      </c>
      <c r="K16" s="58" t="s">
        <v>49</v>
      </c>
      <c r="L16" s="56"/>
      <c r="M16" t="s">
        <v>78</v>
      </c>
    </row>
    <row r="17" spans="1:13" ht="60" customHeight="1" x14ac:dyDescent="0.2">
      <c r="A17" s="39">
        <v>23</v>
      </c>
      <c r="B17" s="30" t="s">
        <v>73</v>
      </c>
      <c r="C17" s="31" t="s">
        <v>74</v>
      </c>
      <c r="D17" s="41" t="s">
        <v>19</v>
      </c>
      <c r="E17" s="42" t="s">
        <v>79</v>
      </c>
      <c r="F17" s="62" t="s">
        <v>80</v>
      </c>
      <c r="G17" s="44" t="s">
        <v>22</v>
      </c>
      <c r="H17" s="44" t="s">
        <v>23</v>
      </c>
      <c r="I17" s="44" t="s">
        <v>24</v>
      </c>
      <c r="J17" s="45">
        <f>IF($B$3="","",$B$3+15)</f>
        <v>46245</v>
      </c>
      <c r="K17" s="58" t="s">
        <v>81</v>
      </c>
      <c r="L17" s="47"/>
      <c r="M17" t="s">
        <v>82</v>
      </c>
    </row>
    <row r="18" spans="1:13" ht="60" customHeight="1" x14ac:dyDescent="0.2">
      <c r="A18" s="39">
        <v>24</v>
      </c>
      <c r="B18" s="49" t="s">
        <v>73</v>
      </c>
      <c r="C18" s="60" t="s">
        <v>83</v>
      </c>
      <c r="D18" s="51" t="s">
        <v>51</v>
      </c>
      <c r="E18" s="52" t="s">
        <v>84</v>
      </c>
      <c r="F18" s="61" t="s">
        <v>85</v>
      </c>
      <c r="G18" s="44" t="s">
        <v>22</v>
      </c>
      <c r="H18" s="44" t="s">
        <v>23</v>
      </c>
      <c r="I18" s="44" t="s">
        <v>54</v>
      </c>
      <c r="J18" s="54">
        <f>IF($B$3="","",$B$3+16)</f>
        <v>46246</v>
      </c>
      <c r="K18" s="58" t="s">
        <v>86</v>
      </c>
      <c r="L18" s="56"/>
      <c r="M18" t="s">
        <v>87</v>
      </c>
    </row>
    <row r="19" spans="1:13" ht="60" customHeight="1" x14ac:dyDescent="0.2">
      <c r="A19" s="39">
        <v>25</v>
      </c>
      <c r="B19" s="30" t="s">
        <v>73</v>
      </c>
      <c r="C19" s="31" t="s">
        <v>74</v>
      </c>
      <c r="D19" s="57" t="s">
        <v>38</v>
      </c>
      <c r="E19" s="42" t="s">
        <v>88</v>
      </c>
      <c r="F19" s="62" t="s">
        <v>89</v>
      </c>
      <c r="G19" s="44" t="s">
        <v>22</v>
      </c>
      <c r="H19" s="44" t="s">
        <v>90</v>
      </c>
      <c r="I19" s="44" t="s">
        <v>43</v>
      </c>
      <c r="J19" s="45">
        <f>IF($B$3="","",$B$3+17)</f>
        <v>46247</v>
      </c>
      <c r="K19" s="58" t="s">
        <v>81</v>
      </c>
      <c r="L19" s="47"/>
      <c r="M19" t="s">
        <v>91</v>
      </c>
    </row>
    <row r="20" spans="1:13" ht="60" customHeight="1" x14ac:dyDescent="0.2">
      <c r="A20" s="39">
        <v>26</v>
      </c>
      <c r="B20" s="49" t="s">
        <v>73</v>
      </c>
      <c r="C20" s="60" t="s">
        <v>74</v>
      </c>
      <c r="D20" s="51" t="s">
        <v>38</v>
      </c>
      <c r="E20" s="52" t="s">
        <v>92</v>
      </c>
      <c r="F20" s="61" t="s">
        <v>93</v>
      </c>
      <c r="G20" s="44" t="s">
        <v>22</v>
      </c>
      <c r="H20" s="44" t="s">
        <v>23</v>
      </c>
      <c r="I20" s="44" t="s">
        <v>43</v>
      </c>
      <c r="J20" s="54">
        <f>IF($B$3="","",$B$3+18)</f>
        <v>46248</v>
      </c>
      <c r="K20" s="58" t="s">
        <v>94</v>
      </c>
      <c r="L20" s="56"/>
      <c r="M20" t="s">
        <v>95</v>
      </c>
    </row>
    <row r="21" spans="1:13" ht="60" customHeight="1" x14ac:dyDescent="0.2">
      <c r="A21" s="39">
        <v>27</v>
      </c>
      <c r="B21" s="30" t="s">
        <v>96</v>
      </c>
      <c r="C21" s="31" t="s">
        <v>74</v>
      </c>
      <c r="D21" s="57" t="s">
        <v>38</v>
      </c>
      <c r="E21" s="42" t="s">
        <v>97</v>
      </c>
      <c r="F21" s="62" t="s">
        <v>98</v>
      </c>
      <c r="G21" s="44" t="s">
        <v>22</v>
      </c>
      <c r="H21" s="44" t="s">
        <v>23</v>
      </c>
      <c r="I21" s="44" t="s">
        <v>43</v>
      </c>
      <c r="J21" s="45">
        <f>IF($B$3="","",$B$3+21)</f>
        <v>46251</v>
      </c>
      <c r="K21" s="58" t="s">
        <v>86</v>
      </c>
      <c r="L21" s="47"/>
      <c r="M21" t="s">
        <v>99</v>
      </c>
    </row>
    <row r="22" spans="1:13" ht="60" customHeight="1" x14ac:dyDescent="0.2">
      <c r="A22" s="39">
        <v>28</v>
      </c>
      <c r="B22" s="49" t="s">
        <v>96</v>
      </c>
      <c r="C22" s="60" t="s">
        <v>100</v>
      </c>
      <c r="D22" s="51" t="s">
        <v>30</v>
      </c>
      <c r="E22" s="52" t="s">
        <v>101</v>
      </c>
      <c r="F22" s="61" t="s">
        <v>102</v>
      </c>
      <c r="G22" s="44" t="s">
        <v>22</v>
      </c>
      <c r="H22" s="44" t="s">
        <v>23</v>
      </c>
      <c r="I22" s="44" t="s">
        <v>34</v>
      </c>
      <c r="J22" s="54">
        <f>IF($B$3="","",$B$3+22)</f>
        <v>46252</v>
      </c>
      <c r="K22" s="58" t="s">
        <v>81</v>
      </c>
      <c r="L22" s="56"/>
      <c r="M22" t="s">
        <v>103</v>
      </c>
    </row>
    <row r="23" spans="1:13" ht="60" customHeight="1" x14ac:dyDescent="0.2">
      <c r="A23" s="39">
        <v>29</v>
      </c>
      <c r="B23" s="30" t="s">
        <v>96</v>
      </c>
      <c r="C23" s="31" t="s">
        <v>74</v>
      </c>
      <c r="D23" s="41" t="s">
        <v>19</v>
      </c>
      <c r="E23" s="42" t="s">
        <v>104</v>
      </c>
      <c r="F23" s="62" t="s">
        <v>105</v>
      </c>
      <c r="G23" s="44" t="s">
        <v>22</v>
      </c>
      <c r="H23" s="44" t="s">
        <v>106</v>
      </c>
      <c r="I23" s="44" t="s">
        <v>24</v>
      </c>
      <c r="J23" s="45">
        <f>IF($B$3="","",$B$3+23)</f>
        <v>46253</v>
      </c>
      <c r="K23" s="58" t="s">
        <v>86</v>
      </c>
      <c r="L23" s="47"/>
      <c r="M23" t="s">
        <v>107</v>
      </c>
    </row>
    <row r="24" spans="1:13" ht="60" customHeight="1" x14ac:dyDescent="0.2">
      <c r="A24" s="39">
        <v>30</v>
      </c>
      <c r="B24" s="49" t="s">
        <v>96</v>
      </c>
      <c r="C24" s="60" t="s">
        <v>108</v>
      </c>
      <c r="D24" s="51" t="s">
        <v>19</v>
      </c>
      <c r="E24" s="52" t="s">
        <v>109</v>
      </c>
      <c r="F24" s="61" t="s">
        <v>110</v>
      </c>
      <c r="G24" s="44" t="s">
        <v>41</v>
      </c>
      <c r="H24" s="44" t="s">
        <v>111</v>
      </c>
      <c r="I24" s="44" t="s">
        <v>24</v>
      </c>
      <c r="J24" s="54">
        <f>IF($B$3="","",$B$3+24)</f>
        <v>46254</v>
      </c>
      <c r="K24" s="58" t="s">
        <v>81</v>
      </c>
      <c r="L24" s="56"/>
      <c r="M24" t="s">
        <v>112</v>
      </c>
    </row>
    <row r="25" spans="1:13" ht="60" customHeight="1" x14ac:dyDescent="0.2">
      <c r="A25" s="39">
        <v>31</v>
      </c>
      <c r="B25" s="30" t="s">
        <v>96</v>
      </c>
      <c r="C25" s="31" t="s">
        <v>74</v>
      </c>
      <c r="D25" s="57" t="s">
        <v>38</v>
      </c>
      <c r="E25" s="42" t="s">
        <v>113</v>
      </c>
      <c r="F25" s="62" t="s">
        <v>114</v>
      </c>
      <c r="G25" s="44" t="s">
        <v>41</v>
      </c>
      <c r="H25" s="44" t="s">
        <v>23</v>
      </c>
      <c r="I25" s="44" t="s">
        <v>43</v>
      </c>
      <c r="J25" s="45">
        <f>IF($B$3="","",$B$3+25)</f>
        <v>46255</v>
      </c>
      <c r="K25" s="58" t="s">
        <v>94</v>
      </c>
      <c r="L25" s="47"/>
      <c r="M25" t="s">
        <v>115</v>
      </c>
    </row>
    <row r="28" spans="1:13" ht="15" customHeight="1" x14ac:dyDescent="0.2">
      <c r="A28" s="1" t="s">
        <v>116</v>
      </c>
    </row>
    <row r="29" spans="1:13" ht="15" customHeight="1" x14ac:dyDescent="0.2">
      <c r="A29" s="63" t="s">
        <v>117</v>
      </c>
      <c r="B29" s="40">
        <f>SUMPRODUCT(--ISNUMBER(SEARCH("scrito",C5:C25)))+COUNTIF(C5:C25,"Publicado")</f>
        <v>19</v>
      </c>
    </row>
    <row r="30" spans="1:13" ht="15" customHeight="1" x14ac:dyDescent="0.2">
      <c r="A30" s="63" t="s">
        <v>118</v>
      </c>
      <c r="B30" s="31">
        <f>COUNTIF(C5:C25,"Pauta")</f>
        <v>0</v>
      </c>
    </row>
    <row r="31" spans="1:13" ht="15" customHeight="1" x14ac:dyDescent="0.2">
      <c r="A31" s="63" t="s">
        <v>119</v>
      </c>
      <c r="B31" s="39">
        <f>COUNTA(A5:A25)</f>
        <v>21</v>
      </c>
    </row>
    <row r="33" spans="1:13" ht="255" customHeight="1" x14ac:dyDescent="0.2">
      <c r="A33" s="64" t="s">
        <v>120</v>
      </c>
    </row>
    <row r="35" spans="1:13" ht="54.75" customHeight="1" x14ac:dyDescent="0.2">
      <c r="A35" s="97" t="s">
        <v>121</v>
      </c>
      <c r="B35" s="96"/>
      <c r="C35" s="95" t="s">
        <v>122</v>
      </c>
      <c r="D35" s="96"/>
      <c r="E35" s="96"/>
      <c r="F35" s="96"/>
      <c r="G35" s="96"/>
      <c r="H35" s="96"/>
      <c r="I35" s="96"/>
      <c r="J35" s="96"/>
      <c r="K35" s="96"/>
      <c r="L35" s="96"/>
      <c r="M35" s="96"/>
    </row>
    <row r="36" spans="1:13" ht="54.75" customHeight="1" x14ac:dyDescent="0.2">
      <c r="A36" s="97" t="s">
        <v>123</v>
      </c>
      <c r="B36" s="96"/>
      <c r="C36" s="95" t="s">
        <v>124</v>
      </c>
      <c r="D36" s="96"/>
      <c r="E36" s="96"/>
      <c r="F36" s="96"/>
      <c r="G36" s="96"/>
      <c r="H36" s="96"/>
      <c r="I36" s="96"/>
      <c r="J36" s="96"/>
      <c r="K36" s="96"/>
      <c r="L36" s="96"/>
      <c r="M36" s="96"/>
    </row>
    <row r="37" spans="1:13" ht="54.75" customHeight="1" x14ac:dyDescent="0.2">
      <c r="A37" s="97" t="s">
        <v>125</v>
      </c>
      <c r="B37" s="96"/>
      <c r="C37" s="95" t="s">
        <v>126</v>
      </c>
      <c r="D37" s="96"/>
      <c r="E37" s="96"/>
      <c r="F37" s="96"/>
      <c r="G37" s="96"/>
      <c r="H37" s="96"/>
      <c r="I37" s="96"/>
      <c r="J37" s="96"/>
      <c r="K37" s="96"/>
      <c r="L37" s="96"/>
      <c r="M37" s="96"/>
    </row>
    <row r="38" spans="1:13" ht="54.75" customHeight="1" x14ac:dyDescent="0.2">
      <c r="A38" s="97" t="s">
        <v>127</v>
      </c>
      <c r="B38" s="96"/>
      <c r="C38" s="95" t="s">
        <v>128</v>
      </c>
      <c r="D38" s="96"/>
      <c r="E38" s="96"/>
      <c r="F38" s="96"/>
      <c r="G38" s="96"/>
      <c r="H38" s="96"/>
      <c r="I38" s="96"/>
      <c r="J38" s="96"/>
      <c r="K38" s="96"/>
      <c r="L38" s="96"/>
      <c r="M38" s="96"/>
    </row>
    <row r="39" spans="1:13" ht="39.75" customHeight="1" x14ac:dyDescent="0.2">
      <c r="A39" s="97" t="s">
        <v>129</v>
      </c>
      <c r="B39" s="96"/>
      <c r="C39" s="95" t="s">
        <v>130</v>
      </c>
      <c r="D39" s="96"/>
      <c r="E39" s="96"/>
      <c r="F39" s="96"/>
      <c r="G39" s="96"/>
      <c r="H39" s="96"/>
      <c r="I39" s="96"/>
      <c r="J39" s="96"/>
      <c r="K39" s="96"/>
      <c r="L39" s="96"/>
      <c r="M39" s="96"/>
    </row>
  </sheetData>
  <mergeCells count="13">
    <mergeCell ref="C39:M39"/>
    <mergeCell ref="A38:B38"/>
    <mergeCell ref="C35:M35"/>
    <mergeCell ref="A1:M1"/>
    <mergeCell ref="C3:M3"/>
    <mergeCell ref="C38:M38"/>
    <mergeCell ref="C37:M37"/>
    <mergeCell ref="A37:B37"/>
    <mergeCell ref="A36:B36"/>
    <mergeCell ref="C36:M36"/>
    <mergeCell ref="A2:M2"/>
    <mergeCell ref="A39:B39"/>
    <mergeCell ref="A35:B35"/>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A9D8F"/>
  </sheetPr>
  <dimension ref="A1:V69"/>
  <sheetViews>
    <sheetView showGridLines="0" zoomScaleNormal="100" workbookViewId="0">
      <pane ySplit="5" topLeftCell="A6" activePane="bottomLeft" state="frozen"/>
      <selection pane="bottomLeft" activeCell="J20" sqref="J20"/>
    </sheetView>
  </sheetViews>
  <sheetFormatPr baseColWidth="10" defaultColWidth="8.6640625" defaultRowHeight="15" x14ac:dyDescent="0.2"/>
  <cols>
    <col min="1" max="1" width="6" customWidth="1"/>
    <col min="2" max="2" width="20" customWidth="1"/>
    <col min="3" max="3" width="13" customWidth="1"/>
    <col min="4" max="7" width="7.83203125" customWidth="1"/>
    <col min="8" max="11" width="4.83203125" customWidth="1"/>
    <col min="12" max="12" width="11.6640625" customWidth="1"/>
    <col min="13" max="13" width="10.33203125" customWidth="1"/>
    <col min="14" max="14" width="9.6640625" customWidth="1"/>
    <col min="15" max="15" width="8.33203125" customWidth="1"/>
    <col min="16" max="17" width="13" customWidth="1"/>
    <col min="19" max="19" width="17" customWidth="1"/>
  </cols>
  <sheetData>
    <row r="1" spans="1:22" ht="33.75" customHeight="1" x14ac:dyDescent="0.2">
      <c r="A1" s="116" t="s">
        <v>546</v>
      </c>
      <c r="B1" s="96"/>
      <c r="C1" s="96"/>
      <c r="D1" s="96"/>
      <c r="E1" s="96"/>
      <c r="F1" s="96"/>
      <c r="G1" s="96"/>
      <c r="H1" s="96"/>
      <c r="I1" s="96"/>
      <c r="J1" s="96"/>
      <c r="K1" s="96"/>
      <c r="L1" s="96"/>
      <c r="M1" s="96"/>
      <c r="N1" s="96"/>
      <c r="O1" s="96"/>
      <c r="P1" s="96"/>
      <c r="Q1" s="96"/>
      <c r="R1" s="96"/>
      <c r="S1" s="96"/>
      <c r="T1" s="96"/>
      <c r="U1" s="96"/>
      <c r="V1" s="96"/>
    </row>
    <row r="2" spans="1:22" ht="30" customHeight="1" x14ac:dyDescent="0.2">
      <c r="A2" s="115" t="s">
        <v>547</v>
      </c>
      <c r="B2" s="96"/>
      <c r="C2" s="96"/>
      <c r="D2" s="96"/>
      <c r="E2" s="96"/>
      <c r="F2" s="96"/>
      <c r="G2" s="96"/>
      <c r="H2" s="96"/>
      <c r="I2" s="96"/>
      <c r="J2" s="96"/>
      <c r="K2" s="96"/>
      <c r="L2" s="96"/>
      <c r="M2" s="96"/>
      <c r="N2" s="96"/>
      <c r="O2" s="96"/>
      <c r="P2" s="96"/>
      <c r="Q2" s="96"/>
      <c r="R2" s="96"/>
      <c r="S2" s="96"/>
      <c r="T2" s="96"/>
      <c r="U2" s="96"/>
      <c r="V2" s="96"/>
    </row>
    <row r="3" spans="1:22" ht="7.5" customHeight="1" x14ac:dyDescent="0.2"/>
    <row r="4" spans="1:22" ht="48" customHeight="1" x14ac:dyDescent="0.2">
      <c r="A4" s="65" t="s">
        <v>548</v>
      </c>
      <c r="B4" s="65" t="s">
        <v>549</v>
      </c>
      <c r="C4" s="65" t="s">
        <v>11</v>
      </c>
      <c r="D4" s="65" t="s">
        <v>550</v>
      </c>
      <c r="E4" s="65" t="s">
        <v>551</v>
      </c>
      <c r="F4" s="65" t="s">
        <v>552</v>
      </c>
      <c r="G4" s="65" t="s">
        <v>553</v>
      </c>
      <c r="H4" s="65" t="s">
        <v>485</v>
      </c>
      <c r="I4" s="65" t="s">
        <v>554</v>
      </c>
      <c r="J4" s="66" t="s">
        <v>555</v>
      </c>
      <c r="K4" s="66" t="s">
        <v>556</v>
      </c>
      <c r="L4" s="67" t="s">
        <v>557</v>
      </c>
      <c r="M4" s="66" t="s">
        <v>558</v>
      </c>
      <c r="N4" s="66" t="s">
        <v>559</v>
      </c>
      <c r="O4" s="67" t="s">
        <v>560</v>
      </c>
      <c r="P4" s="66" t="s">
        <v>561</v>
      </c>
      <c r="Q4" s="67" t="s">
        <v>562</v>
      </c>
      <c r="R4" s="65" t="s">
        <v>563</v>
      </c>
      <c r="S4" s="65" t="s">
        <v>564</v>
      </c>
      <c r="T4" s="65" t="s">
        <v>565</v>
      </c>
      <c r="U4" s="65" t="s">
        <v>566</v>
      </c>
      <c r="V4" s="65" t="s">
        <v>567</v>
      </c>
    </row>
    <row r="5" spans="1:22" ht="19.5" customHeight="1" x14ac:dyDescent="0.2">
      <c r="A5" s="117" t="s">
        <v>568</v>
      </c>
      <c r="B5" s="96"/>
      <c r="C5" s="96"/>
      <c r="D5" s="96"/>
      <c r="E5" s="96"/>
      <c r="F5" s="96"/>
      <c r="G5" s="96"/>
      <c r="H5" s="96"/>
      <c r="I5" s="96"/>
      <c r="J5" s="96"/>
      <c r="K5" s="96"/>
      <c r="L5" s="96"/>
      <c r="M5" s="96"/>
      <c r="N5" s="96"/>
      <c r="O5" s="96"/>
      <c r="P5" s="96"/>
      <c r="Q5" s="96"/>
      <c r="R5" s="96"/>
      <c r="S5" s="96"/>
      <c r="T5" s="96"/>
      <c r="U5" s="96"/>
      <c r="V5" s="96"/>
    </row>
    <row r="6" spans="1:22" ht="25.5" customHeight="1" x14ac:dyDescent="0.2">
      <c r="A6" s="68" t="s">
        <v>569</v>
      </c>
      <c r="B6" s="69" t="s">
        <v>570</v>
      </c>
      <c r="C6" s="69" t="s">
        <v>23</v>
      </c>
      <c r="D6" s="70" t="s">
        <v>571</v>
      </c>
      <c r="E6" s="70" t="s">
        <v>571</v>
      </c>
      <c r="F6" s="70" t="s">
        <v>571</v>
      </c>
      <c r="G6" s="70" t="s">
        <v>571</v>
      </c>
      <c r="H6" s="69">
        <v>749</v>
      </c>
      <c r="I6" s="69">
        <v>749</v>
      </c>
      <c r="J6" s="92">
        <v>0.71</v>
      </c>
      <c r="K6" s="92">
        <v>0.28999999999999998</v>
      </c>
      <c r="L6" s="68" t="s">
        <v>572</v>
      </c>
      <c r="M6" s="71" t="s">
        <v>573</v>
      </c>
      <c r="N6" s="71" t="s">
        <v>574</v>
      </c>
      <c r="O6" s="68" t="s">
        <v>575</v>
      </c>
      <c r="P6" s="71" t="s">
        <v>576</v>
      </c>
      <c r="Q6" s="68" t="s">
        <v>577</v>
      </c>
      <c r="R6" s="69">
        <v>13</v>
      </c>
      <c r="S6" s="91">
        <f t="shared" ref="S6:S14" si="0">IF(I6=0,"",R6/I6)</f>
        <v>1.7356475300400534E-2</v>
      </c>
      <c r="T6" s="70" t="s">
        <v>578</v>
      </c>
      <c r="U6" s="70" t="s">
        <v>578</v>
      </c>
      <c r="V6" s="70" t="s">
        <v>579</v>
      </c>
    </row>
    <row r="7" spans="1:22" ht="25.5" customHeight="1" x14ac:dyDescent="0.2">
      <c r="A7" s="68" t="s">
        <v>569</v>
      </c>
      <c r="B7" s="69" t="s">
        <v>580</v>
      </c>
      <c r="C7" s="69" t="s">
        <v>23</v>
      </c>
      <c r="D7" s="70" t="s">
        <v>571</v>
      </c>
      <c r="E7" s="70" t="s">
        <v>571</v>
      </c>
      <c r="F7" s="70" t="s">
        <v>571</v>
      </c>
      <c r="G7" s="70" t="s">
        <v>571</v>
      </c>
      <c r="H7" s="69">
        <v>1058</v>
      </c>
      <c r="I7" s="69">
        <v>1058</v>
      </c>
      <c r="J7" s="92">
        <v>0.54</v>
      </c>
      <c r="K7" s="92">
        <v>0.46</v>
      </c>
      <c r="L7" s="68" t="s">
        <v>581</v>
      </c>
      <c r="M7" s="71" t="s">
        <v>582</v>
      </c>
      <c r="N7" s="71" t="s">
        <v>583</v>
      </c>
      <c r="O7" s="68" t="s">
        <v>584</v>
      </c>
      <c r="P7" s="71" t="s">
        <v>585</v>
      </c>
      <c r="Q7" s="68" t="s">
        <v>586</v>
      </c>
      <c r="R7" s="69">
        <v>27</v>
      </c>
      <c r="S7" s="91">
        <f t="shared" si="0"/>
        <v>2.5519848771266541E-2</v>
      </c>
      <c r="T7" s="70" t="s">
        <v>578</v>
      </c>
      <c r="U7" s="70" t="s">
        <v>578</v>
      </c>
      <c r="V7" s="70" t="s">
        <v>579</v>
      </c>
    </row>
    <row r="8" spans="1:22" ht="25.5" customHeight="1" x14ac:dyDescent="0.2">
      <c r="A8" s="68" t="s">
        <v>569</v>
      </c>
      <c r="B8" s="69" t="s">
        <v>587</v>
      </c>
      <c r="C8" s="69" t="s">
        <v>23</v>
      </c>
      <c r="D8" s="70" t="s">
        <v>571</v>
      </c>
      <c r="E8" s="70" t="s">
        <v>571</v>
      </c>
      <c r="F8" s="70" t="s">
        <v>571</v>
      </c>
      <c r="G8" s="70" t="s">
        <v>571</v>
      </c>
      <c r="H8" s="69">
        <v>414</v>
      </c>
      <c r="I8" s="69">
        <v>414</v>
      </c>
      <c r="J8" s="92">
        <v>0.61</v>
      </c>
      <c r="K8" s="92">
        <v>0.39</v>
      </c>
      <c r="L8" s="68" t="s">
        <v>581</v>
      </c>
      <c r="M8" s="71" t="s">
        <v>588</v>
      </c>
      <c r="N8" s="71" t="s">
        <v>583</v>
      </c>
      <c r="O8" s="68" t="s">
        <v>584</v>
      </c>
      <c r="P8" s="71" t="s">
        <v>585</v>
      </c>
      <c r="Q8" s="68" t="s">
        <v>586</v>
      </c>
      <c r="R8" s="69">
        <v>11</v>
      </c>
      <c r="S8" s="91">
        <f t="shared" si="0"/>
        <v>2.6570048309178744E-2</v>
      </c>
      <c r="T8" s="70" t="s">
        <v>578</v>
      </c>
      <c r="U8" s="70" t="s">
        <v>578</v>
      </c>
      <c r="V8" s="70" t="s">
        <v>579</v>
      </c>
    </row>
    <row r="9" spans="1:22" ht="25.5" customHeight="1" x14ac:dyDescent="0.2">
      <c r="A9" s="68" t="s">
        <v>569</v>
      </c>
      <c r="B9" s="69" t="s">
        <v>589</v>
      </c>
      <c r="C9" s="69" t="s">
        <v>23</v>
      </c>
      <c r="D9" s="70" t="s">
        <v>571</v>
      </c>
      <c r="E9" s="70" t="s">
        <v>571</v>
      </c>
      <c r="F9" s="70" t="s">
        <v>571</v>
      </c>
      <c r="G9" s="70" t="s">
        <v>571</v>
      </c>
      <c r="H9" s="69">
        <v>260</v>
      </c>
      <c r="I9" s="69">
        <v>260</v>
      </c>
      <c r="J9" s="92">
        <v>0.77</v>
      </c>
      <c r="K9" s="92">
        <v>0.23</v>
      </c>
      <c r="L9" s="68" t="s">
        <v>590</v>
      </c>
      <c r="M9" s="71" t="s">
        <v>591</v>
      </c>
      <c r="N9" s="71" t="s">
        <v>592</v>
      </c>
      <c r="O9" s="68" t="s">
        <v>593</v>
      </c>
      <c r="P9" s="71" t="s">
        <v>594</v>
      </c>
      <c r="Q9" s="68" t="s">
        <v>595</v>
      </c>
      <c r="R9" s="69">
        <v>9</v>
      </c>
      <c r="S9" s="91">
        <f t="shared" si="0"/>
        <v>3.4615384615384617E-2</v>
      </c>
      <c r="T9" s="70" t="s">
        <v>578</v>
      </c>
      <c r="U9" s="70" t="s">
        <v>578</v>
      </c>
      <c r="V9" s="70" t="s">
        <v>579</v>
      </c>
    </row>
    <row r="10" spans="1:22" ht="25.5" customHeight="1" x14ac:dyDescent="0.2">
      <c r="A10" s="68" t="s">
        <v>569</v>
      </c>
      <c r="B10" s="69" t="s">
        <v>596</v>
      </c>
      <c r="C10" s="69" t="s">
        <v>23</v>
      </c>
      <c r="D10" s="70" t="s">
        <v>571</v>
      </c>
      <c r="E10" s="70" t="s">
        <v>571</v>
      </c>
      <c r="F10" s="70" t="s">
        <v>571</v>
      </c>
      <c r="G10" s="70" t="s">
        <v>571</v>
      </c>
      <c r="H10" s="69">
        <v>326</v>
      </c>
      <c r="I10" s="69">
        <v>326</v>
      </c>
      <c r="J10" s="92">
        <v>0.73</v>
      </c>
      <c r="K10" s="92">
        <v>0.27</v>
      </c>
      <c r="L10" s="68" t="s">
        <v>597</v>
      </c>
      <c r="M10" s="71" t="s">
        <v>598</v>
      </c>
      <c r="N10" s="71" t="s">
        <v>599</v>
      </c>
      <c r="O10" s="68" t="s">
        <v>600</v>
      </c>
      <c r="P10" s="71" t="s">
        <v>601</v>
      </c>
      <c r="Q10" s="68" t="s">
        <v>602</v>
      </c>
      <c r="R10" s="69">
        <v>10</v>
      </c>
      <c r="S10" s="91">
        <f t="shared" si="0"/>
        <v>3.0674846625766871E-2</v>
      </c>
      <c r="T10" s="70" t="s">
        <v>578</v>
      </c>
      <c r="U10" s="70" t="s">
        <v>578</v>
      </c>
      <c r="V10" s="70" t="s">
        <v>579</v>
      </c>
    </row>
    <row r="11" spans="1:22" ht="25.5" customHeight="1" x14ac:dyDescent="0.2">
      <c r="A11" s="68" t="s">
        <v>569</v>
      </c>
      <c r="B11" s="69" t="s">
        <v>603</v>
      </c>
      <c r="C11" s="69" t="s">
        <v>23</v>
      </c>
      <c r="D11" s="70" t="s">
        <v>571</v>
      </c>
      <c r="E11" s="70" t="s">
        <v>571</v>
      </c>
      <c r="F11" s="70" t="s">
        <v>571</v>
      </c>
      <c r="G11" s="70" t="s">
        <v>571</v>
      </c>
      <c r="H11" s="69">
        <v>366</v>
      </c>
      <c r="I11" s="69">
        <v>366</v>
      </c>
      <c r="J11" s="92">
        <v>0.63</v>
      </c>
      <c r="K11" s="92">
        <v>0.37</v>
      </c>
      <c r="L11" s="68" t="s">
        <v>597</v>
      </c>
      <c r="M11" s="71" t="s">
        <v>604</v>
      </c>
      <c r="N11" s="71" t="s">
        <v>605</v>
      </c>
      <c r="O11" s="68" t="s">
        <v>606</v>
      </c>
      <c r="P11" s="71" t="s">
        <v>607</v>
      </c>
      <c r="Q11" s="68" t="s">
        <v>608</v>
      </c>
      <c r="R11" s="69">
        <v>12</v>
      </c>
      <c r="S11" s="91">
        <f t="shared" si="0"/>
        <v>3.2786885245901641E-2</v>
      </c>
      <c r="T11" s="70" t="s">
        <v>578</v>
      </c>
      <c r="U11" s="70" t="s">
        <v>578</v>
      </c>
      <c r="V11" s="70" t="s">
        <v>579</v>
      </c>
    </row>
    <row r="12" spans="1:22" ht="25.5" customHeight="1" x14ac:dyDescent="0.2">
      <c r="A12" s="68" t="s">
        <v>569</v>
      </c>
      <c r="B12" s="69" t="s">
        <v>609</v>
      </c>
      <c r="C12" s="69" t="s">
        <v>23</v>
      </c>
      <c r="D12" s="70" t="s">
        <v>571</v>
      </c>
      <c r="E12" s="70" t="s">
        <v>571</v>
      </c>
      <c r="F12" s="70" t="s">
        <v>571</v>
      </c>
      <c r="G12" s="70" t="s">
        <v>571</v>
      </c>
      <c r="H12" s="69">
        <v>249</v>
      </c>
      <c r="I12" s="69">
        <v>249</v>
      </c>
      <c r="J12" s="92">
        <v>0.73</v>
      </c>
      <c r="K12" s="92">
        <v>0.27</v>
      </c>
      <c r="L12" s="68" t="s">
        <v>610</v>
      </c>
      <c r="M12" s="71" t="s">
        <v>611</v>
      </c>
      <c r="N12" s="71" t="s">
        <v>612</v>
      </c>
      <c r="O12" s="68" t="s">
        <v>613</v>
      </c>
      <c r="P12" s="71" t="s">
        <v>614</v>
      </c>
      <c r="Q12" s="68" t="s">
        <v>615</v>
      </c>
      <c r="R12" s="69">
        <v>5</v>
      </c>
      <c r="S12" s="91">
        <f t="shared" si="0"/>
        <v>2.0080321285140562E-2</v>
      </c>
      <c r="T12" s="70" t="s">
        <v>578</v>
      </c>
      <c r="U12" s="70" t="s">
        <v>578</v>
      </c>
      <c r="V12" s="70" t="s">
        <v>579</v>
      </c>
    </row>
    <row r="13" spans="1:22" ht="25.5" customHeight="1" x14ac:dyDescent="0.2">
      <c r="A13" s="68" t="s">
        <v>569</v>
      </c>
      <c r="B13" s="69" t="s">
        <v>616</v>
      </c>
      <c r="C13" s="69" t="s">
        <v>23</v>
      </c>
      <c r="D13" s="70" t="s">
        <v>571</v>
      </c>
      <c r="E13" s="70" t="s">
        <v>571</v>
      </c>
      <c r="F13" s="70" t="s">
        <v>571</v>
      </c>
      <c r="G13" s="70" t="s">
        <v>571</v>
      </c>
      <c r="H13" s="69">
        <v>422</v>
      </c>
      <c r="I13" s="69">
        <v>422</v>
      </c>
      <c r="J13" s="92">
        <v>0.57999999999999996</v>
      </c>
      <c r="K13" s="92">
        <v>0.42</v>
      </c>
      <c r="L13" s="68" t="s">
        <v>617</v>
      </c>
      <c r="M13" s="71" t="s">
        <v>618</v>
      </c>
      <c r="N13" s="71" t="s">
        <v>619</v>
      </c>
      <c r="O13" s="68" t="s">
        <v>620</v>
      </c>
      <c r="P13" s="71" t="s">
        <v>621</v>
      </c>
      <c r="Q13" s="68" t="s">
        <v>622</v>
      </c>
      <c r="R13" s="69">
        <v>10</v>
      </c>
      <c r="S13" s="91">
        <f t="shared" si="0"/>
        <v>2.3696682464454975E-2</v>
      </c>
      <c r="T13" s="70" t="s">
        <v>578</v>
      </c>
      <c r="U13" s="70" t="s">
        <v>578</v>
      </c>
      <c r="V13" s="70" t="s">
        <v>579</v>
      </c>
    </row>
    <row r="14" spans="1:22" ht="25.5" customHeight="1" x14ac:dyDescent="0.2">
      <c r="A14" s="68" t="s">
        <v>569</v>
      </c>
      <c r="B14" s="69" t="s">
        <v>623</v>
      </c>
      <c r="C14" s="69" t="s">
        <v>23</v>
      </c>
      <c r="D14" s="70" t="s">
        <v>571</v>
      </c>
      <c r="E14" s="70" t="s">
        <v>571</v>
      </c>
      <c r="F14" s="70" t="s">
        <v>571</v>
      </c>
      <c r="G14" s="70" t="s">
        <v>571</v>
      </c>
      <c r="H14" s="69">
        <v>573</v>
      </c>
      <c r="I14" s="69">
        <v>573</v>
      </c>
      <c r="J14" s="92">
        <v>0.51</v>
      </c>
      <c r="K14" s="92">
        <v>0.49</v>
      </c>
      <c r="L14" s="68" t="s">
        <v>624</v>
      </c>
      <c r="M14" s="71" t="s">
        <v>625</v>
      </c>
      <c r="N14" s="71" t="s">
        <v>626</v>
      </c>
      <c r="O14" s="68" t="s">
        <v>627</v>
      </c>
      <c r="P14" s="71" t="s">
        <v>628</v>
      </c>
      <c r="Q14" s="68" t="s">
        <v>629</v>
      </c>
      <c r="R14" s="69">
        <v>7</v>
      </c>
      <c r="S14" s="91">
        <f t="shared" si="0"/>
        <v>1.2216404886561954E-2</v>
      </c>
      <c r="T14" s="70" t="s">
        <v>578</v>
      </c>
      <c r="U14" s="70" t="s">
        <v>578</v>
      </c>
      <c r="V14" s="70" t="s">
        <v>579</v>
      </c>
    </row>
    <row r="15" spans="1:22" ht="42" customHeight="1" x14ac:dyDescent="0.2">
      <c r="A15" s="73" t="s">
        <v>630</v>
      </c>
      <c r="B15" s="73" t="s">
        <v>631</v>
      </c>
      <c r="C15" s="73"/>
      <c r="D15" s="73"/>
      <c r="E15" s="73"/>
      <c r="F15" s="73"/>
      <c r="G15" s="73"/>
      <c r="H15" s="73">
        <v>491</v>
      </c>
      <c r="I15" s="73"/>
      <c r="J15" s="74">
        <v>0.65</v>
      </c>
      <c r="K15" s="74">
        <v>0.35</v>
      </c>
      <c r="L15" s="75" t="s">
        <v>632</v>
      </c>
      <c r="M15" s="75" t="s">
        <v>633</v>
      </c>
      <c r="N15" s="75" t="s">
        <v>634</v>
      </c>
      <c r="O15" s="75" t="s">
        <v>635</v>
      </c>
      <c r="P15" s="75" t="s">
        <v>636</v>
      </c>
      <c r="Q15" s="75" t="s">
        <v>637</v>
      </c>
      <c r="R15" s="73">
        <v>12</v>
      </c>
      <c r="S15" s="76">
        <v>2.4799999999999999E-2</v>
      </c>
      <c r="T15" s="73"/>
      <c r="U15" s="73"/>
      <c r="V15" s="75" t="s">
        <v>638</v>
      </c>
    </row>
    <row r="16" spans="1:22" ht="15" customHeight="1" x14ac:dyDescent="0.2">
      <c r="A16" s="118" t="s">
        <v>639</v>
      </c>
      <c r="B16" s="96"/>
      <c r="C16" s="96"/>
      <c r="D16" s="96"/>
      <c r="E16" s="96"/>
      <c r="F16" s="96"/>
      <c r="G16" s="96"/>
      <c r="H16" s="96"/>
      <c r="I16" s="96"/>
      <c r="J16" s="96"/>
      <c r="K16" s="96"/>
      <c r="L16" s="96"/>
      <c r="M16" s="96"/>
      <c r="N16" s="96"/>
      <c r="O16" s="96"/>
      <c r="P16" s="96"/>
      <c r="Q16" s="96"/>
      <c r="R16" s="96"/>
      <c r="S16" s="96"/>
      <c r="T16" s="96"/>
      <c r="U16" s="96"/>
      <c r="V16" s="96"/>
    </row>
    <row r="17" spans="1:22" ht="15" customHeight="1" x14ac:dyDescent="0.2">
      <c r="A17" s="78" t="s">
        <v>640</v>
      </c>
      <c r="B17" s="78" t="s">
        <v>641</v>
      </c>
      <c r="C17" s="78" t="s">
        <v>23</v>
      </c>
      <c r="D17" s="78" t="s">
        <v>642</v>
      </c>
      <c r="E17" s="78" t="s">
        <v>643</v>
      </c>
      <c r="F17" s="78" t="s">
        <v>395</v>
      </c>
      <c r="G17" s="78" t="s">
        <v>423</v>
      </c>
      <c r="H17" s="78">
        <v>2735</v>
      </c>
      <c r="I17" s="78">
        <v>1738</v>
      </c>
      <c r="J17">
        <v>0.52</v>
      </c>
      <c r="K17">
        <v>0.48</v>
      </c>
      <c r="L17" t="s">
        <v>644</v>
      </c>
      <c r="M17" t="s">
        <v>645</v>
      </c>
      <c r="N17" t="s">
        <v>646</v>
      </c>
      <c r="O17" t="s">
        <v>647</v>
      </c>
      <c r="P17" t="s">
        <v>648</v>
      </c>
      <c r="Q17" t="s">
        <v>649</v>
      </c>
      <c r="R17" s="78">
        <v>84</v>
      </c>
      <c r="S17" s="79">
        <f t="shared" ref="S17:S48" si="1">IF(I17=0,"",R17/I17)</f>
        <v>4.8331415420023012E-2</v>
      </c>
      <c r="T17" s="78">
        <v>3</v>
      </c>
      <c r="U17" s="78">
        <v>36</v>
      </c>
      <c r="V17" t="s">
        <v>650</v>
      </c>
    </row>
    <row r="18" spans="1:22" ht="15" customHeight="1" x14ac:dyDescent="0.2">
      <c r="A18" s="80" t="s">
        <v>651</v>
      </c>
      <c r="B18" s="80" t="s">
        <v>652</v>
      </c>
      <c r="C18" s="80" t="s">
        <v>653</v>
      </c>
      <c r="D18" s="80" t="s">
        <v>654</v>
      </c>
      <c r="E18" s="80" t="s">
        <v>655</v>
      </c>
      <c r="F18" s="80" t="s">
        <v>395</v>
      </c>
      <c r="G18" s="80" t="s">
        <v>656</v>
      </c>
      <c r="H18" s="80" t="s">
        <v>657</v>
      </c>
      <c r="I18" s="80" t="s">
        <v>657</v>
      </c>
      <c r="R18" s="80"/>
      <c r="S18" s="81" t="e">
        <f t="shared" si="1"/>
        <v>#VALUE!</v>
      </c>
      <c r="T18" s="80"/>
      <c r="U18" s="80"/>
      <c r="V18" s="80" t="s">
        <v>658</v>
      </c>
    </row>
    <row r="19" spans="1:22" ht="15" customHeight="1" x14ac:dyDescent="0.2">
      <c r="S19" s="79" t="str">
        <f t="shared" si="1"/>
        <v/>
      </c>
    </row>
    <row r="20" spans="1:22" ht="15" customHeight="1" x14ac:dyDescent="0.2">
      <c r="A20" s="80"/>
      <c r="B20" s="80"/>
      <c r="C20" s="80"/>
      <c r="D20" s="80"/>
      <c r="E20" s="80"/>
      <c r="F20" s="80"/>
      <c r="G20" s="80"/>
      <c r="H20" s="80"/>
      <c r="I20" s="80"/>
      <c r="R20" s="80"/>
      <c r="S20" s="81" t="str">
        <f t="shared" si="1"/>
        <v/>
      </c>
      <c r="T20" s="80"/>
      <c r="U20" s="80"/>
      <c r="V20" s="80"/>
    </row>
    <row r="21" spans="1:22" ht="15" customHeight="1" x14ac:dyDescent="0.2">
      <c r="S21" s="79" t="str">
        <f t="shared" si="1"/>
        <v/>
      </c>
    </row>
    <row r="22" spans="1:22" ht="15" customHeight="1" x14ac:dyDescent="0.2">
      <c r="A22" s="80"/>
      <c r="B22" s="80"/>
      <c r="C22" s="80"/>
      <c r="D22" s="80"/>
      <c r="E22" s="80"/>
      <c r="F22" s="80"/>
      <c r="G22" s="80"/>
      <c r="H22" s="80"/>
      <c r="I22" s="80"/>
      <c r="R22" s="80"/>
      <c r="S22" s="81" t="str">
        <f t="shared" si="1"/>
        <v/>
      </c>
      <c r="T22" s="80"/>
      <c r="U22" s="80"/>
      <c r="V22" s="80"/>
    </row>
    <row r="23" spans="1:22" ht="15" customHeight="1" x14ac:dyDescent="0.2">
      <c r="S23" s="79" t="str">
        <f t="shared" si="1"/>
        <v/>
      </c>
    </row>
    <row r="24" spans="1:22" ht="15" customHeight="1" x14ac:dyDescent="0.2">
      <c r="A24" s="80"/>
      <c r="B24" s="80"/>
      <c r="C24" s="80"/>
      <c r="D24" s="80"/>
      <c r="E24" s="80"/>
      <c r="F24" s="80"/>
      <c r="G24" s="80"/>
      <c r="H24" s="80"/>
      <c r="I24" s="80"/>
      <c r="R24" s="80"/>
      <c r="S24" s="81" t="str">
        <f t="shared" si="1"/>
        <v/>
      </c>
      <c r="T24" s="80"/>
      <c r="U24" s="80"/>
      <c r="V24" s="80"/>
    </row>
    <row r="25" spans="1:22" ht="15" customHeight="1" x14ac:dyDescent="0.2">
      <c r="S25" s="79" t="str">
        <f t="shared" si="1"/>
        <v/>
      </c>
    </row>
    <row r="26" spans="1:22" ht="15" customHeight="1" x14ac:dyDescent="0.2">
      <c r="A26" s="80"/>
      <c r="B26" s="80"/>
      <c r="C26" s="80"/>
      <c r="D26" s="80"/>
      <c r="E26" s="80"/>
      <c r="F26" s="80"/>
      <c r="G26" s="80"/>
      <c r="H26" s="80"/>
      <c r="I26" s="80"/>
      <c r="R26" s="80"/>
      <c r="S26" s="81" t="str">
        <f t="shared" si="1"/>
        <v/>
      </c>
      <c r="T26" s="80"/>
      <c r="U26" s="80"/>
      <c r="V26" s="80"/>
    </row>
    <row r="27" spans="1:22" ht="15" customHeight="1" x14ac:dyDescent="0.2">
      <c r="S27" s="79" t="str">
        <f t="shared" si="1"/>
        <v/>
      </c>
    </row>
    <row r="28" spans="1:22" ht="15" customHeight="1" x14ac:dyDescent="0.2">
      <c r="A28" s="80"/>
      <c r="B28" s="80"/>
      <c r="C28" s="80"/>
      <c r="D28" s="80"/>
      <c r="E28" s="80"/>
      <c r="F28" s="80"/>
      <c r="G28" s="80"/>
      <c r="H28" s="80"/>
      <c r="I28" s="80"/>
      <c r="R28" s="80"/>
      <c r="S28" s="81" t="str">
        <f t="shared" si="1"/>
        <v/>
      </c>
      <c r="T28" s="80"/>
      <c r="U28" s="80"/>
      <c r="V28" s="80"/>
    </row>
    <row r="29" spans="1:22" ht="15" customHeight="1" x14ac:dyDescent="0.2">
      <c r="S29" s="79" t="str">
        <f t="shared" si="1"/>
        <v/>
      </c>
    </row>
    <row r="30" spans="1:22" ht="15" customHeight="1" x14ac:dyDescent="0.2">
      <c r="A30" s="80"/>
      <c r="B30" s="80"/>
      <c r="C30" s="80"/>
      <c r="D30" s="80"/>
      <c r="E30" s="80"/>
      <c r="F30" s="80"/>
      <c r="G30" s="80"/>
      <c r="H30" s="80"/>
      <c r="I30" s="80"/>
      <c r="R30" s="80"/>
      <c r="S30" s="81" t="str">
        <f t="shared" si="1"/>
        <v/>
      </c>
      <c r="T30" s="80"/>
      <c r="U30" s="80"/>
      <c r="V30" s="80"/>
    </row>
    <row r="31" spans="1:22" ht="15" customHeight="1" x14ac:dyDescent="0.2">
      <c r="S31" s="79" t="str">
        <f t="shared" si="1"/>
        <v/>
      </c>
    </row>
    <row r="32" spans="1:22" ht="15" customHeight="1" x14ac:dyDescent="0.2">
      <c r="A32" s="80"/>
      <c r="B32" s="80"/>
      <c r="C32" s="80"/>
      <c r="D32" s="80"/>
      <c r="E32" s="80"/>
      <c r="F32" s="80"/>
      <c r="G32" s="80"/>
      <c r="H32" s="80"/>
      <c r="I32" s="80"/>
      <c r="R32" s="80"/>
      <c r="S32" s="81" t="str">
        <f t="shared" si="1"/>
        <v/>
      </c>
      <c r="T32" s="80"/>
      <c r="U32" s="80"/>
      <c r="V32" s="80"/>
    </row>
    <row r="33" spans="1:22" ht="15" customHeight="1" x14ac:dyDescent="0.2">
      <c r="S33" s="79" t="str">
        <f t="shared" si="1"/>
        <v/>
      </c>
    </row>
    <row r="34" spans="1:22" ht="15" customHeight="1" x14ac:dyDescent="0.2">
      <c r="A34" s="80"/>
      <c r="B34" s="80"/>
      <c r="C34" s="80"/>
      <c r="D34" s="80"/>
      <c r="E34" s="80"/>
      <c r="F34" s="80"/>
      <c r="G34" s="80"/>
      <c r="H34" s="80"/>
      <c r="I34" s="80"/>
      <c r="R34" s="80"/>
      <c r="S34" s="81" t="str">
        <f t="shared" si="1"/>
        <v/>
      </c>
      <c r="T34" s="80"/>
      <c r="U34" s="80"/>
      <c r="V34" s="80"/>
    </row>
    <row r="35" spans="1:22" ht="15" customHeight="1" x14ac:dyDescent="0.2">
      <c r="S35" s="79" t="str">
        <f t="shared" si="1"/>
        <v/>
      </c>
    </row>
    <row r="36" spans="1:22" ht="15" customHeight="1" x14ac:dyDescent="0.2">
      <c r="A36" s="80"/>
      <c r="B36" s="80"/>
      <c r="C36" s="80"/>
      <c r="D36" s="80"/>
      <c r="E36" s="80"/>
      <c r="F36" s="80"/>
      <c r="G36" s="80"/>
      <c r="H36" s="80"/>
      <c r="I36" s="80"/>
      <c r="R36" s="80"/>
      <c r="S36" s="81" t="str">
        <f t="shared" si="1"/>
        <v/>
      </c>
      <c r="T36" s="80"/>
      <c r="U36" s="80"/>
      <c r="V36" s="80"/>
    </row>
    <row r="37" spans="1:22" ht="15" customHeight="1" x14ac:dyDescent="0.2">
      <c r="S37" s="79" t="str">
        <f t="shared" si="1"/>
        <v/>
      </c>
    </row>
    <row r="38" spans="1:22" ht="15" customHeight="1" x14ac:dyDescent="0.2">
      <c r="A38" s="80"/>
      <c r="B38" s="80"/>
      <c r="C38" s="80"/>
      <c r="D38" s="80"/>
      <c r="E38" s="80"/>
      <c r="F38" s="80"/>
      <c r="G38" s="80"/>
      <c r="H38" s="80"/>
      <c r="I38" s="80"/>
      <c r="R38" s="80"/>
      <c r="S38" s="81" t="str">
        <f t="shared" si="1"/>
        <v/>
      </c>
      <c r="T38" s="80"/>
      <c r="U38" s="80"/>
      <c r="V38" s="80"/>
    </row>
    <row r="39" spans="1:22" ht="15" customHeight="1" x14ac:dyDescent="0.2">
      <c r="S39" s="79" t="str">
        <f t="shared" si="1"/>
        <v/>
      </c>
    </row>
    <row r="40" spans="1:22" ht="15" customHeight="1" x14ac:dyDescent="0.2">
      <c r="A40" s="80"/>
      <c r="B40" s="80"/>
      <c r="C40" s="80"/>
      <c r="D40" s="80"/>
      <c r="E40" s="80"/>
      <c r="F40" s="80"/>
      <c r="G40" s="80"/>
      <c r="H40" s="80"/>
      <c r="I40" s="80"/>
      <c r="R40" s="80"/>
      <c r="S40" s="81" t="str">
        <f t="shared" si="1"/>
        <v/>
      </c>
      <c r="T40" s="80"/>
      <c r="U40" s="80"/>
      <c r="V40" s="80"/>
    </row>
    <row r="41" spans="1:22" ht="15" customHeight="1" x14ac:dyDescent="0.2">
      <c r="S41" s="79" t="str">
        <f t="shared" si="1"/>
        <v/>
      </c>
    </row>
    <row r="42" spans="1:22" ht="15" customHeight="1" x14ac:dyDescent="0.2">
      <c r="A42" s="80"/>
      <c r="B42" s="80"/>
      <c r="C42" s="80"/>
      <c r="D42" s="80"/>
      <c r="E42" s="80"/>
      <c r="F42" s="80"/>
      <c r="G42" s="80"/>
      <c r="H42" s="80"/>
      <c r="I42" s="80"/>
      <c r="R42" s="80"/>
      <c r="S42" s="81" t="str">
        <f t="shared" si="1"/>
        <v/>
      </c>
      <c r="T42" s="80"/>
      <c r="U42" s="80"/>
      <c r="V42" s="80"/>
    </row>
    <row r="43" spans="1:22" ht="15" customHeight="1" x14ac:dyDescent="0.2">
      <c r="S43" s="79" t="str">
        <f t="shared" si="1"/>
        <v/>
      </c>
    </row>
    <row r="44" spans="1:22" ht="15" customHeight="1" x14ac:dyDescent="0.2">
      <c r="A44" s="80"/>
      <c r="B44" s="80"/>
      <c r="C44" s="80"/>
      <c r="D44" s="80"/>
      <c r="E44" s="80"/>
      <c r="F44" s="80"/>
      <c r="G44" s="80"/>
      <c r="H44" s="80"/>
      <c r="I44" s="80"/>
      <c r="R44" s="80"/>
      <c r="S44" s="81" t="str">
        <f t="shared" si="1"/>
        <v/>
      </c>
      <c r="T44" s="80"/>
      <c r="U44" s="80"/>
      <c r="V44" s="80"/>
    </row>
    <row r="45" spans="1:22" ht="15" customHeight="1" x14ac:dyDescent="0.2">
      <c r="S45" s="79" t="str">
        <f t="shared" si="1"/>
        <v/>
      </c>
    </row>
    <row r="46" spans="1:22" ht="15" customHeight="1" x14ac:dyDescent="0.2">
      <c r="A46" s="80"/>
      <c r="B46" s="80"/>
      <c r="C46" s="80"/>
      <c r="D46" s="80"/>
      <c r="E46" s="80"/>
      <c r="F46" s="80"/>
      <c r="G46" s="80"/>
      <c r="H46" s="80"/>
      <c r="I46" s="80"/>
      <c r="R46" s="80"/>
      <c r="S46" s="81" t="str">
        <f t="shared" si="1"/>
        <v/>
      </c>
      <c r="T46" s="80"/>
      <c r="U46" s="80"/>
      <c r="V46" s="80"/>
    </row>
    <row r="47" spans="1:22" ht="15" customHeight="1" x14ac:dyDescent="0.2">
      <c r="S47" s="79" t="str">
        <f t="shared" si="1"/>
        <v/>
      </c>
    </row>
    <row r="48" spans="1:22" ht="15" customHeight="1" x14ac:dyDescent="0.2">
      <c r="A48" s="80"/>
      <c r="B48" s="80"/>
      <c r="C48" s="80"/>
      <c r="D48" s="80"/>
      <c r="E48" s="80"/>
      <c r="F48" s="80"/>
      <c r="G48" s="80"/>
      <c r="H48" s="80"/>
      <c r="I48" s="80"/>
      <c r="R48" s="80"/>
      <c r="S48" s="81" t="str">
        <f t="shared" si="1"/>
        <v/>
      </c>
      <c r="T48" s="80"/>
      <c r="U48" s="80"/>
      <c r="V48" s="80"/>
    </row>
    <row r="49" spans="1:22" ht="15" customHeight="1" x14ac:dyDescent="0.2">
      <c r="S49" s="79" t="str">
        <f t="shared" ref="S49:S69" si="2">IF(I49=0,"",R49/I49)</f>
        <v/>
      </c>
    </row>
    <row r="50" spans="1:22" ht="15" customHeight="1" x14ac:dyDescent="0.2">
      <c r="A50" s="80"/>
      <c r="B50" s="80"/>
      <c r="C50" s="80"/>
      <c r="D50" s="80"/>
      <c r="E50" s="80"/>
      <c r="F50" s="80"/>
      <c r="G50" s="80"/>
      <c r="H50" s="80"/>
      <c r="I50" s="80"/>
      <c r="R50" s="80"/>
      <c r="S50" s="81" t="str">
        <f t="shared" si="2"/>
        <v/>
      </c>
      <c r="T50" s="80"/>
      <c r="U50" s="80"/>
      <c r="V50" s="80"/>
    </row>
    <row r="51" spans="1:22" ht="15" customHeight="1" x14ac:dyDescent="0.2">
      <c r="S51" s="79" t="str">
        <f t="shared" si="2"/>
        <v/>
      </c>
    </row>
    <row r="52" spans="1:22" ht="15" customHeight="1" x14ac:dyDescent="0.2">
      <c r="S52" s="79" t="str">
        <f t="shared" si="2"/>
        <v/>
      </c>
    </row>
    <row r="53" spans="1:22" ht="15" customHeight="1" x14ac:dyDescent="0.2">
      <c r="S53" s="79" t="str">
        <f t="shared" si="2"/>
        <v/>
      </c>
    </row>
    <row r="54" spans="1:22" ht="15" customHeight="1" x14ac:dyDescent="0.2">
      <c r="S54" s="79" t="str">
        <f t="shared" si="2"/>
        <v/>
      </c>
    </row>
    <row r="55" spans="1:22" ht="15" customHeight="1" x14ac:dyDescent="0.2">
      <c r="S55" s="79" t="str">
        <f t="shared" si="2"/>
        <v/>
      </c>
    </row>
    <row r="56" spans="1:22" ht="15" customHeight="1" x14ac:dyDescent="0.2">
      <c r="S56" s="79" t="str">
        <f t="shared" si="2"/>
        <v/>
      </c>
    </row>
    <row r="57" spans="1:22" ht="15" customHeight="1" x14ac:dyDescent="0.2">
      <c r="S57" s="79" t="str">
        <f t="shared" si="2"/>
        <v/>
      </c>
    </row>
    <row r="58" spans="1:22" ht="15" customHeight="1" x14ac:dyDescent="0.2">
      <c r="S58" s="79" t="str">
        <f t="shared" si="2"/>
        <v/>
      </c>
    </row>
    <row r="59" spans="1:22" x14ac:dyDescent="0.2">
      <c r="S59" s="79" t="str">
        <f t="shared" si="2"/>
        <v/>
      </c>
    </row>
    <row r="60" spans="1:22" x14ac:dyDescent="0.2">
      <c r="S60" s="79" t="str">
        <f t="shared" si="2"/>
        <v/>
      </c>
    </row>
    <row r="61" spans="1:22" x14ac:dyDescent="0.2">
      <c r="S61" s="79" t="str">
        <f t="shared" si="2"/>
        <v/>
      </c>
    </row>
    <row r="62" spans="1:22" x14ac:dyDescent="0.2">
      <c r="S62" s="79" t="str">
        <f t="shared" si="2"/>
        <v/>
      </c>
    </row>
    <row r="63" spans="1:22" x14ac:dyDescent="0.2">
      <c r="S63" s="79" t="str">
        <f t="shared" si="2"/>
        <v/>
      </c>
    </row>
    <row r="64" spans="1:22" x14ac:dyDescent="0.2">
      <c r="S64" s="79" t="str">
        <f t="shared" si="2"/>
        <v/>
      </c>
    </row>
    <row r="65" spans="19:19" x14ac:dyDescent="0.2">
      <c r="S65" s="79" t="str">
        <f t="shared" si="2"/>
        <v/>
      </c>
    </row>
    <row r="66" spans="19:19" x14ac:dyDescent="0.2">
      <c r="S66" s="79" t="str">
        <f t="shared" si="2"/>
        <v/>
      </c>
    </row>
    <row r="67" spans="19:19" x14ac:dyDescent="0.2">
      <c r="S67" s="79" t="str">
        <f t="shared" si="2"/>
        <v/>
      </c>
    </row>
    <row r="68" spans="19:19" x14ac:dyDescent="0.2">
      <c r="S68" s="79" t="str">
        <f t="shared" si="2"/>
        <v/>
      </c>
    </row>
    <row r="69" spans="19:19" x14ac:dyDescent="0.2">
      <c r="S69" s="79" t="str">
        <f t="shared" si="2"/>
        <v/>
      </c>
    </row>
  </sheetData>
  <mergeCells count="4">
    <mergeCell ref="A2:V2"/>
    <mergeCell ref="A1:V1"/>
    <mergeCell ref="A5:V5"/>
    <mergeCell ref="A16:V16"/>
  </mergeCells>
  <conditionalFormatting sqref="F6:F199">
    <cfRule type="cellIs" dxfId="4" priority="2" operator="equal">
      <formula>"Sí"</formula>
    </cfRule>
    <cfRule type="cellIs" dxfId="3" priority="3" operator="equal">
      <formula>"No"</formula>
    </cfRule>
  </conditionalFormatting>
  <dataValidations count="1">
    <dataValidation type="list" allowBlank="1" sqref="F7:G199" xr:uid="{00000000-0002-0000-0500-000000000000}">
      <formula1>"Sí,No"</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76F51"/>
  </sheetPr>
  <dimension ref="A1:P31"/>
  <sheetViews>
    <sheetView showGridLines="0" zoomScaleNormal="100" workbookViewId="0">
      <pane ySplit="5" topLeftCell="A6" activePane="bottomLeft" state="frozen"/>
      <selection pane="bottomLeft" activeCell="E7" sqref="E7"/>
    </sheetView>
  </sheetViews>
  <sheetFormatPr baseColWidth="10" defaultColWidth="8.6640625" defaultRowHeight="15" x14ac:dyDescent="0.2"/>
  <cols>
    <col min="1" max="1" width="13" customWidth="1"/>
    <col min="2" max="3" width="11" customWidth="1"/>
    <col min="4" max="4" width="15" customWidth="1"/>
    <col min="5" max="7" width="16" customWidth="1"/>
    <col min="8" max="10" width="13" customWidth="1"/>
    <col min="11" max="12" width="15" customWidth="1"/>
  </cols>
  <sheetData>
    <row r="1" spans="1:16" ht="33.75" customHeight="1" x14ac:dyDescent="0.2">
      <c r="A1" s="119" t="s">
        <v>659</v>
      </c>
      <c r="B1" s="96"/>
      <c r="C1" s="96"/>
      <c r="D1" s="96"/>
      <c r="E1" s="96"/>
      <c r="F1" s="96"/>
      <c r="G1" s="96"/>
      <c r="H1" s="96"/>
      <c r="I1" s="96"/>
      <c r="J1" s="96"/>
      <c r="K1" s="96"/>
      <c r="L1" s="96"/>
      <c r="M1" s="96"/>
      <c r="N1" s="96"/>
      <c r="O1" s="96"/>
      <c r="P1" s="96"/>
    </row>
    <row r="2" spans="1:16" ht="30" customHeight="1" x14ac:dyDescent="0.2">
      <c r="A2" s="115" t="s">
        <v>660</v>
      </c>
      <c r="B2" s="96"/>
      <c r="C2" s="96"/>
      <c r="D2" s="96"/>
      <c r="E2" s="96"/>
      <c r="F2" s="96"/>
      <c r="G2" s="96"/>
      <c r="H2" s="96"/>
      <c r="I2" s="96"/>
      <c r="J2" s="96"/>
      <c r="K2" s="96"/>
      <c r="L2" s="96"/>
      <c r="M2" s="96"/>
      <c r="N2" s="96"/>
      <c r="O2" s="96"/>
      <c r="P2" s="96"/>
    </row>
    <row r="3" spans="1:16" ht="7.5" customHeight="1" x14ac:dyDescent="0.2"/>
    <row r="4" spans="1:16" ht="48" customHeight="1" x14ac:dyDescent="0.2">
      <c r="A4" s="82" t="s">
        <v>661</v>
      </c>
      <c r="B4" s="82" t="s">
        <v>662</v>
      </c>
      <c r="C4" s="82" t="s">
        <v>663</v>
      </c>
      <c r="D4" s="82" t="s">
        <v>664</v>
      </c>
      <c r="E4" s="82" t="s">
        <v>665</v>
      </c>
      <c r="F4" s="82" t="s">
        <v>666</v>
      </c>
      <c r="G4" s="82" t="s">
        <v>667</v>
      </c>
      <c r="H4" s="83" t="s">
        <v>668</v>
      </c>
      <c r="I4" s="82" t="s">
        <v>669</v>
      </c>
      <c r="J4" s="83" t="s">
        <v>670</v>
      </c>
      <c r="K4" s="82" t="s">
        <v>671</v>
      </c>
      <c r="L4" s="82" t="s">
        <v>672</v>
      </c>
      <c r="M4" s="84" t="s">
        <v>673</v>
      </c>
      <c r="N4" s="84" t="s">
        <v>674</v>
      </c>
      <c r="O4" s="82" t="s">
        <v>675</v>
      </c>
      <c r="P4" s="82" t="s">
        <v>676</v>
      </c>
    </row>
    <row r="5" spans="1:16" ht="43.5" customHeight="1" x14ac:dyDescent="0.2">
      <c r="A5" s="85">
        <v>46220</v>
      </c>
      <c r="B5" s="86">
        <v>5205</v>
      </c>
      <c r="C5" s="70" t="s">
        <v>677</v>
      </c>
      <c r="D5" s="69">
        <v>5166</v>
      </c>
      <c r="E5" s="71" t="s">
        <v>678</v>
      </c>
      <c r="F5" s="87" t="s">
        <v>679</v>
      </c>
      <c r="G5" s="87" t="s">
        <v>680</v>
      </c>
      <c r="H5" s="68" t="s">
        <v>678</v>
      </c>
      <c r="I5" s="70" t="s">
        <v>681</v>
      </c>
      <c r="J5" s="68" t="s">
        <v>678</v>
      </c>
      <c r="K5" s="72">
        <f>4688/90</f>
        <v>52.088888888888889</v>
      </c>
      <c r="L5" s="72">
        <f>421/90</f>
        <v>4.677777777777778</v>
      </c>
      <c r="M5" s="69">
        <v>0.64</v>
      </c>
      <c r="N5" s="69">
        <v>0.36</v>
      </c>
      <c r="O5" s="71" t="s">
        <v>678</v>
      </c>
      <c r="P5" s="70" t="s">
        <v>682</v>
      </c>
    </row>
    <row r="6" spans="1:16" ht="39.75" customHeight="1" x14ac:dyDescent="0.2">
      <c r="A6" s="85">
        <v>46229</v>
      </c>
      <c r="B6" s="86">
        <v>5409</v>
      </c>
      <c r="C6" s="70" t="s">
        <v>683</v>
      </c>
      <c r="D6" s="69" t="s">
        <v>678</v>
      </c>
      <c r="E6" s="71" t="s">
        <v>684</v>
      </c>
      <c r="F6" s="87" t="s">
        <v>685</v>
      </c>
      <c r="G6" s="87" t="s">
        <v>686</v>
      </c>
      <c r="H6" s="68" t="s">
        <v>687</v>
      </c>
      <c r="I6" s="70" t="s">
        <v>688</v>
      </c>
      <c r="J6" s="68" t="s">
        <v>689</v>
      </c>
      <c r="K6" s="72">
        <v>558.14285714285711</v>
      </c>
      <c r="L6" s="72">
        <v>6</v>
      </c>
      <c r="M6" s="69">
        <v>0.54</v>
      </c>
      <c r="N6" s="69">
        <v>0.46</v>
      </c>
      <c r="O6" s="71" t="s">
        <v>690</v>
      </c>
      <c r="P6" s="70" t="s">
        <v>691</v>
      </c>
    </row>
    <row r="7" spans="1:16" ht="153" customHeight="1" x14ac:dyDescent="0.2">
      <c r="A7" s="89"/>
      <c r="B7" s="89"/>
      <c r="C7" s="89"/>
      <c r="D7" s="89"/>
      <c r="E7" s="89"/>
      <c r="F7" s="89"/>
      <c r="G7" s="89"/>
      <c r="H7" s="68"/>
      <c r="I7" s="89"/>
      <c r="J7" s="68"/>
      <c r="K7" s="89"/>
      <c r="L7" s="89"/>
      <c r="M7" s="77"/>
      <c r="N7" s="77"/>
      <c r="O7" s="89"/>
      <c r="P7" s="89"/>
    </row>
    <row r="8" spans="1:16" ht="15" customHeight="1" x14ac:dyDescent="0.2"/>
    <row r="9" spans="1:16" x14ac:dyDescent="0.2">
      <c r="A9" s="80"/>
      <c r="B9" s="80"/>
      <c r="C9" s="80"/>
      <c r="D9" s="80"/>
      <c r="E9" s="80"/>
      <c r="F9" s="80"/>
      <c r="G9" s="80"/>
      <c r="I9" s="80"/>
      <c r="K9" s="80"/>
      <c r="L9" s="80"/>
      <c r="O9" s="80"/>
      <c r="P9" s="80"/>
    </row>
    <row r="10" spans="1:16" ht="15" customHeight="1" x14ac:dyDescent="0.2"/>
    <row r="11" spans="1:16" x14ac:dyDescent="0.2">
      <c r="A11" s="80"/>
      <c r="B11" s="80"/>
      <c r="C11" s="80"/>
      <c r="D11" s="80"/>
      <c r="E11" s="80"/>
      <c r="F11" s="80"/>
      <c r="G11" s="80"/>
      <c r="I11" s="80"/>
      <c r="K11" s="80"/>
      <c r="L11" s="80"/>
      <c r="O11" s="80"/>
      <c r="P11" s="80"/>
    </row>
    <row r="12" spans="1:16" ht="15" customHeight="1" x14ac:dyDescent="0.2"/>
    <row r="13" spans="1:16" x14ac:dyDescent="0.2">
      <c r="A13" s="80"/>
      <c r="B13" s="80"/>
      <c r="C13" s="80"/>
      <c r="D13" s="80"/>
      <c r="E13" s="80"/>
      <c r="F13" s="80"/>
      <c r="G13" s="80"/>
      <c r="I13" s="80"/>
      <c r="K13" s="80"/>
      <c r="L13" s="80"/>
      <c r="O13" s="80"/>
      <c r="P13" s="80"/>
    </row>
    <row r="14" spans="1:16" ht="15" customHeight="1" x14ac:dyDescent="0.2"/>
    <row r="15" spans="1:16" x14ac:dyDescent="0.2">
      <c r="A15" s="80"/>
      <c r="B15" s="80"/>
      <c r="C15" s="80"/>
      <c r="D15" s="80"/>
      <c r="E15" s="80"/>
      <c r="F15" s="80"/>
      <c r="G15" s="80"/>
      <c r="I15" s="80"/>
      <c r="K15" s="80"/>
      <c r="L15" s="80"/>
      <c r="O15" s="80"/>
      <c r="P15" s="80"/>
    </row>
    <row r="16" spans="1:16" ht="15" customHeight="1" x14ac:dyDescent="0.2"/>
    <row r="17" spans="1:16" x14ac:dyDescent="0.2">
      <c r="A17" s="80"/>
      <c r="B17" s="80"/>
      <c r="C17" s="80"/>
      <c r="D17" s="80"/>
      <c r="E17" s="80"/>
      <c r="F17" s="80"/>
      <c r="G17" s="80"/>
      <c r="I17" s="80"/>
      <c r="K17" s="80"/>
      <c r="L17" s="80"/>
      <c r="O17" s="80"/>
      <c r="P17" s="80"/>
    </row>
    <row r="18" spans="1:16" ht="15" customHeight="1" x14ac:dyDescent="0.2"/>
    <row r="19" spans="1:16" x14ac:dyDescent="0.2">
      <c r="A19" s="80"/>
      <c r="B19" s="80"/>
      <c r="C19" s="80"/>
      <c r="D19" s="80"/>
      <c r="E19" s="80"/>
      <c r="F19" s="80"/>
      <c r="G19" s="80"/>
      <c r="I19" s="80"/>
      <c r="K19" s="80"/>
      <c r="L19" s="80"/>
      <c r="O19" s="80"/>
      <c r="P19" s="80"/>
    </row>
    <row r="20" spans="1:16" ht="15" customHeight="1" x14ac:dyDescent="0.2"/>
    <row r="21" spans="1:16" x14ac:dyDescent="0.2">
      <c r="A21" s="80"/>
      <c r="B21" s="80"/>
      <c r="C21" s="80"/>
      <c r="D21" s="80"/>
      <c r="E21" s="80"/>
      <c r="F21" s="80"/>
      <c r="G21" s="80"/>
      <c r="I21" s="80"/>
      <c r="K21" s="80"/>
      <c r="L21" s="80"/>
      <c r="O21" s="80"/>
      <c r="P21" s="80"/>
    </row>
    <row r="22" spans="1:16" ht="15" customHeight="1" x14ac:dyDescent="0.2"/>
    <row r="23" spans="1:16" x14ac:dyDescent="0.2">
      <c r="A23" s="80"/>
      <c r="B23" s="80"/>
      <c r="C23" s="80"/>
      <c r="D23" s="80"/>
      <c r="E23" s="80"/>
      <c r="F23" s="80"/>
      <c r="G23" s="80"/>
      <c r="I23" s="80"/>
      <c r="K23" s="80"/>
      <c r="L23" s="80"/>
      <c r="O23" s="80"/>
      <c r="P23" s="80"/>
    </row>
    <row r="24" spans="1:16" ht="15" customHeight="1" x14ac:dyDescent="0.2"/>
    <row r="25" spans="1:16" x14ac:dyDescent="0.2">
      <c r="A25" s="80"/>
      <c r="B25" s="80"/>
      <c r="C25" s="80"/>
      <c r="D25" s="80"/>
      <c r="E25" s="80"/>
      <c r="F25" s="80"/>
      <c r="G25" s="80"/>
      <c r="I25" s="80"/>
      <c r="K25" s="80"/>
      <c r="L25" s="80"/>
      <c r="O25" s="80"/>
      <c r="P25" s="80"/>
    </row>
    <row r="26" spans="1:16" ht="15" customHeight="1" x14ac:dyDescent="0.2"/>
    <row r="27" spans="1:16" x14ac:dyDescent="0.2">
      <c r="A27" s="80"/>
      <c r="B27" s="80"/>
      <c r="C27" s="80"/>
      <c r="D27" s="80"/>
      <c r="E27" s="80"/>
      <c r="F27" s="80"/>
      <c r="G27" s="80"/>
      <c r="I27" s="80"/>
      <c r="K27" s="80"/>
      <c r="L27" s="80"/>
      <c r="O27" s="80"/>
      <c r="P27" s="80"/>
    </row>
    <row r="28" spans="1:16" ht="15" customHeight="1" x14ac:dyDescent="0.2"/>
    <row r="29" spans="1:16" x14ac:dyDescent="0.2">
      <c r="A29" s="80"/>
      <c r="B29" s="80"/>
      <c r="C29" s="80"/>
      <c r="D29" s="80"/>
      <c r="E29" s="80"/>
      <c r="F29" s="80"/>
      <c r="G29" s="80"/>
      <c r="I29" s="80"/>
      <c r="K29" s="80"/>
      <c r="L29" s="80"/>
      <c r="O29" s="80"/>
      <c r="P29" s="80"/>
    </row>
    <row r="30" spans="1:16" ht="15" customHeight="1" x14ac:dyDescent="0.2"/>
    <row r="31" spans="1:16" x14ac:dyDescent="0.2">
      <c r="A31" s="80"/>
      <c r="B31" s="80"/>
      <c r="C31" s="80"/>
      <c r="D31" s="80"/>
      <c r="E31" s="80"/>
      <c r="F31" s="80"/>
      <c r="G31" s="80"/>
      <c r="I31" s="80"/>
      <c r="K31" s="80"/>
      <c r="L31" s="80"/>
      <c r="O31" s="80"/>
      <c r="P31" s="80"/>
    </row>
  </sheetData>
  <mergeCells count="2">
    <mergeCell ref="A1:P1"/>
    <mergeCell ref="A2:P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A9D8F"/>
  </sheetPr>
  <dimension ref="A1:G31"/>
  <sheetViews>
    <sheetView showGridLines="0" zoomScaleNormal="100" workbookViewId="0">
      <pane ySplit="5" topLeftCell="A6" activePane="bottomLeft" state="frozen"/>
      <selection pane="bottomLeft" activeCell="B5" sqref="B5"/>
    </sheetView>
  </sheetViews>
  <sheetFormatPr baseColWidth="10" defaultColWidth="8.6640625" defaultRowHeight="15" x14ac:dyDescent="0.2"/>
  <cols>
    <col min="1" max="1" width="11" customWidth="1"/>
    <col min="2" max="2" width="26" customWidth="1"/>
    <col min="3" max="3" width="22" customWidth="1"/>
    <col min="4" max="4" width="28" customWidth="1"/>
    <col min="5" max="5" width="24" customWidth="1"/>
    <col min="6" max="6" width="22" customWidth="1"/>
    <col min="7" max="7" width="24" customWidth="1"/>
  </cols>
  <sheetData>
    <row r="1" spans="1:7" ht="33.75" customHeight="1" x14ac:dyDescent="0.2">
      <c r="A1" s="116" t="s">
        <v>692</v>
      </c>
      <c r="B1" s="96"/>
      <c r="C1" s="96"/>
      <c r="D1" s="96"/>
      <c r="E1" s="96"/>
      <c r="F1" s="96"/>
      <c r="G1" s="96"/>
    </row>
    <row r="2" spans="1:7" ht="30" customHeight="1" x14ac:dyDescent="0.2">
      <c r="A2" s="120" t="s">
        <v>693</v>
      </c>
      <c r="B2" s="96"/>
      <c r="C2" s="96"/>
      <c r="D2" s="96"/>
      <c r="E2" s="96"/>
      <c r="F2" s="96"/>
      <c r="G2" s="96"/>
    </row>
    <row r="3" spans="1:7" ht="7.5" customHeight="1" x14ac:dyDescent="0.2"/>
    <row r="4" spans="1:7" ht="48" customHeight="1" x14ac:dyDescent="0.2">
      <c r="A4" s="65" t="s">
        <v>694</v>
      </c>
      <c r="B4" s="65" t="s">
        <v>695</v>
      </c>
      <c r="C4" s="65" t="s">
        <v>696</v>
      </c>
      <c r="D4" s="65" t="s">
        <v>697</v>
      </c>
      <c r="E4" s="65" t="s">
        <v>698</v>
      </c>
      <c r="F4" s="65" t="s">
        <v>699</v>
      </c>
      <c r="G4" s="65" t="s">
        <v>700</v>
      </c>
    </row>
    <row r="5" spans="1:7" ht="60" customHeight="1" x14ac:dyDescent="0.2">
      <c r="A5" s="85">
        <v>46231</v>
      </c>
      <c r="B5" s="69" t="s">
        <v>701</v>
      </c>
      <c r="C5" s="70" t="s">
        <v>702</v>
      </c>
      <c r="D5" s="70" t="s">
        <v>703</v>
      </c>
      <c r="E5" s="70" t="s">
        <v>704</v>
      </c>
      <c r="F5" s="70" t="s">
        <v>705</v>
      </c>
      <c r="G5" s="70" t="s">
        <v>706</v>
      </c>
    </row>
    <row r="6" spans="1:7" ht="33.75" customHeight="1" x14ac:dyDescent="0.2">
      <c r="A6" s="88" t="s">
        <v>707</v>
      </c>
    </row>
    <row r="7" spans="1:7" ht="38.25" customHeight="1" x14ac:dyDescent="0.2">
      <c r="A7" s="89" t="s">
        <v>708</v>
      </c>
      <c r="B7" s="89" t="s">
        <v>709</v>
      </c>
      <c r="C7" s="89" t="s">
        <v>710</v>
      </c>
      <c r="D7" s="89" t="s">
        <v>711</v>
      </c>
      <c r="E7" s="89" t="s">
        <v>712</v>
      </c>
      <c r="F7" s="89" t="s">
        <v>713</v>
      </c>
      <c r="G7" s="89" t="s">
        <v>714</v>
      </c>
    </row>
    <row r="8" spans="1:7" ht="15" customHeight="1" x14ac:dyDescent="0.2">
      <c r="A8" s="93">
        <v>46230</v>
      </c>
      <c r="B8" t="s">
        <v>715</v>
      </c>
      <c r="C8" t="s">
        <v>716</v>
      </c>
      <c r="D8" t="s">
        <v>717</v>
      </c>
      <c r="E8" t="s">
        <v>718</v>
      </c>
      <c r="F8" t="s">
        <v>719</v>
      </c>
    </row>
    <row r="9" spans="1:7" x14ac:dyDescent="0.2">
      <c r="A9" s="80"/>
      <c r="B9" s="80"/>
      <c r="C9" s="80"/>
      <c r="D9" s="80"/>
      <c r="E9" s="80"/>
      <c r="F9" s="80"/>
      <c r="G9" s="80"/>
    </row>
    <row r="10" spans="1:7" ht="15" customHeight="1" x14ac:dyDescent="0.2"/>
    <row r="11" spans="1:7" x14ac:dyDescent="0.2">
      <c r="A11" s="80"/>
      <c r="B11" s="80"/>
      <c r="C11" s="80"/>
      <c r="D11" s="80"/>
      <c r="E11" s="80"/>
      <c r="F11" s="80"/>
      <c r="G11" s="80"/>
    </row>
    <row r="12" spans="1:7" ht="15" customHeight="1" x14ac:dyDescent="0.2"/>
    <row r="13" spans="1:7" x14ac:dyDescent="0.2">
      <c r="A13" s="80"/>
      <c r="B13" s="80"/>
      <c r="C13" s="80"/>
      <c r="D13" s="80"/>
      <c r="E13" s="80"/>
      <c r="F13" s="80"/>
      <c r="G13" s="80"/>
    </row>
    <row r="14" spans="1:7" ht="15" customHeight="1" x14ac:dyDescent="0.2"/>
    <row r="15" spans="1:7" x14ac:dyDescent="0.2">
      <c r="A15" s="80"/>
      <c r="B15" s="80"/>
      <c r="C15" s="80"/>
      <c r="D15" s="80"/>
      <c r="E15" s="80"/>
      <c r="F15" s="80"/>
      <c r="G15" s="80"/>
    </row>
    <row r="16" spans="1:7" ht="15" customHeight="1" x14ac:dyDescent="0.2"/>
    <row r="17" spans="1:7" x14ac:dyDescent="0.2">
      <c r="A17" s="80"/>
      <c r="B17" s="80"/>
      <c r="C17" s="80"/>
      <c r="D17" s="80"/>
      <c r="E17" s="80"/>
      <c r="F17" s="80"/>
      <c r="G17" s="80"/>
    </row>
    <row r="18" spans="1:7" ht="15" customHeight="1" x14ac:dyDescent="0.2"/>
    <row r="19" spans="1:7" x14ac:dyDescent="0.2">
      <c r="A19" s="80"/>
      <c r="B19" s="80"/>
      <c r="C19" s="80"/>
      <c r="D19" s="80"/>
      <c r="E19" s="80"/>
      <c r="F19" s="80"/>
      <c r="G19" s="80"/>
    </row>
    <row r="20" spans="1:7" ht="15" customHeight="1" x14ac:dyDescent="0.2"/>
    <row r="21" spans="1:7" x14ac:dyDescent="0.2">
      <c r="A21" s="80"/>
      <c r="B21" s="80"/>
      <c r="C21" s="80"/>
      <c r="D21" s="80"/>
      <c r="E21" s="80"/>
      <c r="F21" s="80"/>
      <c r="G21" s="80"/>
    </row>
    <row r="22" spans="1:7" ht="15" customHeight="1" x14ac:dyDescent="0.2"/>
    <row r="23" spans="1:7" x14ac:dyDescent="0.2">
      <c r="A23" s="80"/>
      <c r="B23" s="80"/>
      <c r="C23" s="80"/>
      <c r="D23" s="80"/>
      <c r="E23" s="80"/>
      <c r="F23" s="80"/>
      <c r="G23" s="80"/>
    </row>
    <row r="24" spans="1:7" ht="15" customHeight="1" x14ac:dyDescent="0.2"/>
    <row r="25" spans="1:7" x14ac:dyDescent="0.2">
      <c r="A25" s="80"/>
      <c r="B25" s="80"/>
      <c r="C25" s="80"/>
      <c r="D25" s="80"/>
      <c r="E25" s="80"/>
      <c r="F25" s="80"/>
      <c r="G25" s="80"/>
    </row>
    <row r="26" spans="1:7" ht="15" customHeight="1" x14ac:dyDescent="0.2"/>
    <row r="27" spans="1:7" x14ac:dyDescent="0.2">
      <c r="A27" s="80"/>
      <c r="B27" s="80"/>
      <c r="C27" s="80"/>
      <c r="D27" s="80"/>
      <c r="E27" s="80"/>
      <c r="F27" s="80"/>
      <c r="G27" s="80"/>
    </row>
    <row r="28" spans="1:7" ht="15" customHeight="1" x14ac:dyDescent="0.2"/>
    <row r="29" spans="1:7" x14ac:dyDescent="0.2">
      <c r="A29" s="80"/>
      <c r="B29" s="80"/>
      <c r="C29" s="80"/>
      <c r="D29" s="80"/>
      <c r="E29" s="80"/>
      <c r="F29" s="80"/>
      <c r="G29" s="80"/>
    </row>
    <row r="30" spans="1:7" ht="15" customHeight="1" x14ac:dyDescent="0.2"/>
    <row r="31" spans="1:7" x14ac:dyDescent="0.2">
      <c r="A31" s="80"/>
      <c r="B31" s="80"/>
      <c r="C31" s="80"/>
      <c r="D31" s="80"/>
      <c r="E31" s="80"/>
      <c r="F31" s="80"/>
      <c r="G31" s="80"/>
    </row>
  </sheetData>
  <mergeCells count="2">
    <mergeCell ref="A2:G2"/>
    <mergeCell ref="A1:G1"/>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E76F51"/>
  </sheetPr>
  <dimension ref="A1:E49"/>
  <sheetViews>
    <sheetView showGridLines="0" zoomScaleNormal="100" workbookViewId="0">
      <pane ySplit="5" topLeftCell="A6" activePane="bottomLeft" state="frozen"/>
      <selection pane="bottomLeft" sqref="A1:E1"/>
    </sheetView>
  </sheetViews>
  <sheetFormatPr baseColWidth="10" defaultColWidth="8.6640625" defaultRowHeight="15" x14ac:dyDescent="0.2"/>
  <cols>
    <col min="1" max="1" width="11" customWidth="1"/>
    <col min="2" max="2" width="42" customWidth="1"/>
    <col min="3" max="3" width="20" customWidth="1"/>
    <col min="4" max="4" width="16" customWidth="1"/>
    <col min="5" max="5" width="42" customWidth="1"/>
  </cols>
  <sheetData>
    <row r="1" spans="1:5" ht="33.75" customHeight="1" x14ac:dyDescent="0.2">
      <c r="A1" s="119" t="s">
        <v>720</v>
      </c>
      <c r="B1" s="96"/>
      <c r="C1" s="96"/>
      <c r="D1" s="96"/>
      <c r="E1" s="96"/>
    </row>
    <row r="2" spans="1:5" ht="30" customHeight="1" x14ac:dyDescent="0.2">
      <c r="A2" s="121" t="s">
        <v>721</v>
      </c>
      <c r="B2" s="96"/>
      <c r="C2" s="96"/>
      <c r="D2" s="96"/>
      <c r="E2" s="96"/>
    </row>
    <row r="3" spans="1:5" ht="7.5" customHeight="1" x14ac:dyDescent="0.2"/>
    <row r="4" spans="1:5" ht="48" customHeight="1" x14ac:dyDescent="0.2">
      <c r="A4" s="82" t="s">
        <v>694</v>
      </c>
      <c r="B4" s="82" t="s">
        <v>722</v>
      </c>
      <c r="C4" s="82" t="s">
        <v>723</v>
      </c>
      <c r="D4" s="82" t="s">
        <v>6</v>
      </c>
      <c r="E4" s="82" t="s">
        <v>724</v>
      </c>
    </row>
    <row r="5" spans="1:5" ht="30" customHeight="1" x14ac:dyDescent="0.2">
      <c r="A5" s="70" t="s">
        <v>725</v>
      </c>
      <c r="B5" s="69" t="s">
        <v>726</v>
      </c>
      <c r="C5" s="69" t="s">
        <v>38</v>
      </c>
      <c r="D5" s="69" t="s">
        <v>727</v>
      </c>
      <c r="E5" s="70" t="s">
        <v>728</v>
      </c>
    </row>
    <row r="6" spans="1:5" ht="30" customHeight="1" x14ac:dyDescent="0.2">
      <c r="A6" s="70" t="s">
        <v>725</v>
      </c>
      <c r="B6" s="69" t="s">
        <v>729</v>
      </c>
      <c r="C6" s="69" t="s">
        <v>38</v>
      </c>
      <c r="D6" s="69" t="s">
        <v>727</v>
      </c>
      <c r="E6" s="70" t="s">
        <v>728</v>
      </c>
    </row>
    <row r="7" spans="1:5" ht="30" customHeight="1" x14ac:dyDescent="0.2">
      <c r="A7" s="70" t="s">
        <v>725</v>
      </c>
      <c r="B7" s="69" t="s">
        <v>730</v>
      </c>
      <c r="C7" s="69" t="s">
        <v>38</v>
      </c>
      <c r="D7" s="69" t="s">
        <v>727</v>
      </c>
      <c r="E7" s="70" t="s">
        <v>728</v>
      </c>
    </row>
    <row r="8" spans="1:5" ht="30" customHeight="1" x14ac:dyDescent="0.2">
      <c r="A8" s="70" t="s">
        <v>725</v>
      </c>
      <c r="B8" s="69" t="s">
        <v>731</v>
      </c>
      <c r="C8" s="69" t="s">
        <v>38</v>
      </c>
      <c r="D8" s="69" t="s">
        <v>727</v>
      </c>
      <c r="E8" s="70" t="s">
        <v>728</v>
      </c>
    </row>
    <row r="9" spans="1:5" ht="30" customHeight="1" x14ac:dyDescent="0.2">
      <c r="A9" s="70" t="s">
        <v>725</v>
      </c>
      <c r="B9" s="69" t="s">
        <v>732</v>
      </c>
      <c r="C9" s="69" t="s">
        <v>38</v>
      </c>
      <c r="D9" s="69" t="s">
        <v>727</v>
      </c>
      <c r="E9" s="70" t="s">
        <v>728</v>
      </c>
    </row>
    <row r="10" spans="1:5" ht="30" customHeight="1" x14ac:dyDescent="0.2">
      <c r="A10" s="70" t="s">
        <v>725</v>
      </c>
      <c r="B10" s="69" t="s">
        <v>733</v>
      </c>
      <c r="C10" s="69" t="s">
        <v>19</v>
      </c>
      <c r="D10" s="69" t="s">
        <v>727</v>
      </c>
      <c r="E10" s="70" t="s">
        <v>728</v>
      </c>
    </row>
    <row r="11" spans="1:5" ht="30" customHeight="1" x14ac:dyDescent="0.2">
      <c r="A11" s="70" t="s">
        <v>725</v>
      </c>
      <c r="B11" s="69" t="s">
        <v>734</v>
      </c>
      <c r="C11" s="69" t="s">
        <v>38</v>
      </c>
      <c r="D11" s="69" t="s">
        <v>727</v>
      </c>
      <c r="E11" s="70" t="s">
        <v>728</v>
      </c>
    </row>
    <row r="12" spans="1:5" ht="30" customHeight="1" x14ac:dyDescent="0.2">
      <c r="A12" s="70" t="s">
        <v>725</v>
      </c>
      <c r="B12" s="69" t="s">
        <v>735</v>
      </c>
      <c r="C12" s="69" t="s">
        <v>51</v>
      </c>
      <c r="D12" s="69" t="s">
        <v>727</v>
      </c>
      <c r="E12" s="70" t="s">
        <v>728</v>
      </c>
    </row>
    <row r="13" spans="1:5" ht="30" customHeight="1" x14ac:dyDescent="0.2">
      <c r="A13" s="70" t="s">
        <v>725</v>
      </c>
      <c r="B13" s="69" t="s">
        <v>736</v>
      </c>
      <c r="C13" s="69" t="s">
        <v>19</v>
      </c>
      <c r="D13" s="69" t="s">
        <v>727</v>
      </c>
      <c r="E13" s="70" t="s">
        <v>737</v>
      </c>
    </row>
    <row r="14" spans="1:5" ht="30" customHeight="1" x14ac:dyDescent="0.2">
      <c r="A14" s="70" t="s">
        <v>725</v>
      </c>
      <c r="B14" s="69" t="s">
        <v>738</v>
      </c>
      <c r="C14" s="69" t="s">
        <v>38</v>
      </c>
      <c r="D14" s="69" t="s">
        <v>727</v>
      </c>
      <c r="E14" s="70" t="s">
        <v>739</v>
      </c>
    </row>
    <row r="15" spans="1:5" ht="30" customHeight="1" x14ac:dyDescent="0.2">
      <c r="A15" s="70" t="s">
        <v>725</v>
      </c>
      <c r="B15" s="69" t="s">
        <v>740</v>
      </c>
      <c r="C15" s="69" t="s">
        <v>38</v>
      </c>
      <c r="D15" s="69" t="s">
        <v>727</v>
      </c>
      <c r="E15" s="70" t="s">
        <v>741</v>
      </c>
    </row>
    <row r="16" spans="1:5" ht="30" customHeight="1" x14ac:dyDescent="0.2">
      <c r="A16" s="70" t="s">
        <v>742</v>
      </c>
      <c r="B16" s="69" t="s">
        <v>743</v>
      </c>
      <c r="C16" s="69" t="s">
        <v>744</v>
      </c>
      <c r="D16" s="69" t="s">
        <v>745</v>
      </c>
      <c r="E16" s="70" t="s">
        <v>746</v>
      </c>
    </row>
    <row r="17" spans="1:5" ht="30" customHeight="1" x14ac:dyDescent="0.2">
      <c r="A17" s="70" t="s">
        <v>742</v>
      </c>
      <c r="B17" s="69" t="s">
        <v>747</v>
      </c>
      <c r="C17" s="69" t="s">
        <v>748</v>
      </c>
      <c r="D17" s="69" t="s">
        <v>749</v>
      </c>
      <c r="E17" s="70" t="s">
        <v>750</v>
      </c>
    </row>
    <row r="18" spans="1:5" ht="31.5" customHeight="1" x14ac:dyDescent="0.2">
      <c r="A18" s="70" t="s">
        <v>742</v>
      </c>
      <c r="B18" s="69" t="s">
        <v>751</v>
      </c>
      <c r="C18" s="69" t="s">
        <v>19</v>
      </c>
      <c r="D18" s="69" t="s">
        <v>752</v>
      </c>
      <c r="E18" s="70" t="s">
        <v>753</v>
      </c>
    </row>
    <row r="19" spans="1:5" ht="31.5" customHeight="1" x14ac:dyDescent="0.2">
      <c r="A19" s="70" t="s">
        <v>742</v>
      </c>
      <c r="B19" s="69" t="s">
        <v>754</v>
      </c>
      <c r="C19" s="69" t="s">
        <v>19</v>
      </c>
      <c r="D19" s="69" t="s">
        <v>755</v>
      </c>
      <c r="E19" s="70" t="s">
        <v>756</v>
      </c>
    </row>
    <row r="20" spans="1:5" ht="31.5" customHeight="1" x14ac:dyDescent="0.2">
      <c r="A20" s="70" t="s">
        <v>742</v>
      </c>
      <c r="B20" s="69" t="s">
        <v>757</v>
      </c>
      <c r="C20" s="69" t="s">
        <v>38</v>
      </c>
      <c r="D20" s="69" t="s">
        <v>727</v>
      </c>
      <c r="E20" s="70" t="s">
        <v>758</v>
      </c>
    </row>
    <row r="21" spans="1:5" ht="31.5" customHeight="1" x14ac:dyDescent="0.2">
      <c r="A21" s="70" t="s">
        <v>742</v>
      </c>
      <c r="B21" s="69" t="s">
        <v>759</v>
      </c>
      <c r="C21" s="69" t="s">
        <v>19</v>
      </c>
      <c r="D21" s="69" t="s">
        <v>760</v>
      </c>
      <c r="E21" s="70" t="s">
        <v>761</v>
      </c>
    </row>
    <row r="22" spans="1:5" ht="15" customHeight="1" x14ac:dyDescent="0.2">
      <c r="A22" s="88" t="s">
        <v>707</v>
      </c>
    </row>
    <row r="23" spans="1:5" ht="25.5" customHeight="1" x14ac:dyDescent="0.2">
      <c r="A23" s="89" t="s">
        <v>762</v>
      </c>
      <c r="B23" s="89" t="s">
        <v>763</v>
      </c>
      <c r="C23" s="89" t="s">
        <v>764</v>
      </c>
      <c r="D23" s="89" t="s">
        <v>765</v>
      </c>
      <c r="E23" s="89" t="s">
        <v>766</v>
      </c>
    </row>
    <row r="24" spans="1:5" ht="15" customHeight="1" x14ac:dyDescent="0.2">
      <c r="A24" t="s">
        <v>651</v>
      </c>
      <c r="B24" t="s">
        <v>767</v>
      </c>
      <c r="C24" t="s">
        <v>51</v>
      </c>
      <c r="D24" t="s">
        <v>727</v>
      </c>
    </row>
    <row r="25" spans="1:5" x14ac:dyDescent="0.2">
      <c r="A25" s="80"/>
      <c r="B25" s="80"/>
      <c r="C25" s="80"/>
      <c r="D25" s="80"/>
      <c r="E25" s="80"/>
    </row>
    <row r="26" spans="1:5" ht="15" customHeight="1" x14ac:dyDescent="0.2"/>
    <row r="27" spans="1:5" x14ac:dyDescent="0.2">
      <c r="A27" s="80"/>
      <c r="B27" s="80"/>
      <c r="C27" s="80"/>
      <c r="D27" s="80"/>
      <c r="E27" s="80"/>
    </row>
    <row r="28" spans="1:5" ht="15" customHeight="1" x14ac:dyDescent="0.2"/>
    <row r="29" spans="1:5" x14ac:dyDescent="0.2">
      <c r="A29" s="80"/>
      <c r="B29" s="80"/>
      <c r="C29" s="80"/>
      <c r="D29" s="80"/>
      <c r="E29" s="80"/>
    </row>
    <row r="30" spans="1:5" ht="15" customHeight="1" x14ac:dyDescent="0.2"/>
    <row r="31" spans="1:5" x14ac:dyDescent="0.2">
      <c r="A31" s="80"/>
      <c r="B31" s="80"/>
      <c r="C31" s="80"/>
      <c r="D31" s="80"/>
      <c r="E31" s="80"/>
    </row>
    <row r="33" spans="1:5" x14ac:dyDescent="0.2">
      <c r="A33" s="80"/>
      <c r="B33" s="80"/>
      <c r="C33" s="80"/>
      <c r="D33" s="80"/>
      <c r="E33" s="80"/>
    </row>
    <row r="35" spans="1:5" x14ac:dyDescent="0.2">
      <c r="A35" s="80"/>
      <c r="B35" s="80"/>
      <c r="C35" s="80"/>
      <c r="D35" s="80"/>
      <c r="E35" s="80"/>
    </row>
    <row r="37" spans="1:5" x14ac:dyDescent="0.2">
      <c r="A37" s="80"/>
      <c r="B37" s="80"/>
      <c r="C37" s="80"/>
      <c r="D37" s="80"/>
      <c r="E37" s="80"/>
    </row>
    <row r="39" spans="1:5" x14ac:dyDescent="0.2">
      <c r="A39" s="80"/>
      <c r="B39" s="80"/>
      <c r="C39" s="80"/>
      <c r="D39" s="80"/>
      <c r="E39" s="80"/>
    </row>
    <row r="41" spans="1:5" x14ac:dyDescent="0.2">
      <c r="A41" s="80"/>
      <c r="B41" s="80"/>
      <c r="C41" s="80"/>
      <c r="D41" s="80"/>
      <c r="E41" s="80"/>
    </row>
    <row r="43" spans="1:5" x14ac:dyDescent="0.2">
      <c r="A43" s="80"/>
      <c r="B43" s="80"/>
      <c r="C43" s="80"/>
      <c r="D43" s="80"/>
      <c r="E43" s="80"/>
    </row>
    <row r="45" spans="1:5" x14ac:dyDescent="0.2">
      <c r="A45" s="80"/>
      <c r="B45" s="80"/>
      <c r="C45" s="80"/>
      <c r="D45" s="80"/>
      <c r="E45" s="80"/>
    </row>
    <row r="47" spans="1:5" x14ac:dyDescent="0.2">
      <c r="A47" s="80"/>
      <c r="B47" s="80"/>
      <c r="C47" s="80"/>
      <c r="D47" s="80"/>
      <c r="E47" s="80"/>
    </row>
    <row r="48" spans="1:5" x14ac:dyDescent="0.2">
      <c r="A48" t="s">
        <v>651</v>
      </c>
      <c r="B48" t="s">
        <v>768</v>
      </c>
      <c r="C48" t="s">
        <v>38</v>
      </c>
      <c r="D48" t="s">
        <v>749</v>
      </c>
      <c r="E48" t="s">
        <v>769</v>
      </c>
    </row>
    <row r="49" spans="1:5" x14ac:dyDescent="0.2">
      <c r="A49" t="s">
        <v>651</v>
      </c>
      <c r="B49" t="s">
        <v>770</v>
      </c>
      <c r="C49" t="s">
        <v>51</v>
      </c>
      <c r="D49" t="s">
        <v>749</v>
      </c>
      <c r="E49" t="s">
        <v>769</v>
      </c>
    </row>
  </sheetData>
  <mergeCells count="2">
    <mergeCell ref="A2:E2"/>
    <mergeCell ref="A1:E1"/>
  </mergeCells>
  <conditionalFormatting sqref="D6:D200">
    <cfRule type="cellIs" dxfId="2" priority="2" operator="equal">
      <formula>"Publicada"</formula>
    </cfRule>
    <cfRule type="cellIs" dxfId="1" priority="3" operator="equal">
      <formula>"Descartada"</formula>
    </cfRule>
    <cfRule type="cellIs" dxfId="0" priority="4" operator="equal">
      <formula>"Nueva"</formula>
    </cfRule>
  </conditionalFormatting>
  <dataValidations count="2">
    <dataValidation type="list" allowBlank="1" sqref="C6:C200" xr:uid="{00000000-0002-0000-0800-000000000000}">
      <formula1>"Comprador (ICP),Historia personal,Joker cultural,Antes/después,Otro"</formula1>
      <formula2>0</formula2>
    </dataValidation>
    <dataValidation type="list" allowBlank="1" sqref="D6:D200" xr:uid="{00000000-0002-0000-0800-000001000000}">
      <formula1>"Nueva,En parrilla,Publicada,Descartada"</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65"/>
  <sheetViews>
    <sheetView zoomScaleNormal="100" workbookViewId="0">
      <selection sqref="A1:C1"/>
    </sheetView>
  </sheetViews>
  <sheetFormatPr baseColWidth="10" defaultColWidth="8.6640625" defaultRowHeight="15" x14ac:dyDescent="0.2"/>
  <cols>
    <col min="1" max="1" width="3" customWidth="1"/>
    <col min="2" max="2" width="30" customWidth="1"/>
    <col min="3" max="3" width="95" customWidth="1"/>
  </cols>
  <sheetData>
    <row r="1" spans="1:3" ht="39.75" customHeight="1" x14ac:dyDescent="0.2">
      <c r="A1" s="105" t="s">
        <v>771</v>
      </c>
      <c r="B1" s="96"/>
      <c r="C1" s="96"/>
    </row>
    <row r="2" spans="1:3" ht="33.75" customHeight="1" x14ac:dyDescent="0.2">
      <c r="A2" s="103" t="s">
        <v>772</v>
      </c>
      <c r="B2" s="96"/>
      <c r="C2" s="96"/>
    </row>
    <row r="3" spans="1:3" ht="9.75" customHeight="1" x14ac:dyDescent="0.2"/>
    <row r="4" spans="1:3" ht="19.5" customHeight="1" x14ac:dyDescent="0.2">
      <c r="A4" s="108" t="s">
        <v>773</v>
      </c>
      <c r="B4" s="96"/>
      <c r="C4" s="96"/>
    </row>
    <row r="5" spans="1:3" ht="9.75" customHeight="1" x14ac:dyDescent="0.2"/>
    <row r="6" spans="1:3" ht="25.5" customHeight="1" x14ac:dyDescent="0.2">
      <c r="A6" s="107" t="s">
        <v>774</v>
      </c>
      <c r="B6" s="96"/>
      <c r="C6" s="96"/>
    </row>
    <row r="7" spans="1:3" ht="60" customHeight="1" x14ac:dyDescent="0.2">
      <c r="B7" s="4" t="s">
        <v>775</v>
      </c>
      <c r="C7" s="5" t="s">
        <v>776</v>
      </c>
    </row>
    <row r="8" spans="1:3" ht="33.75" customHeight="1" x14ac:dyDescent="0.2">
      <c r="B8" s="4" t="s">
        <v>777</v>
      </c>
      <c r="C8" s="5" t="s">
        <v>778</v>
      </c>
    </row>
    <row r="9" spans="1:3" ht="33.75" customHeight="1" x14ac:dyDescent="0.2">
      <c r="B9" s="4" t="s">
        <v>779</v>
      </c>
      <c r="C9" s="5" t="s">
        <v>780</v>
      </c>
    </row>
    <row r="10" spans="1:3" ht="33.75" customHeight="1" x14ac:dyDescent="0.2">
      <c r="B10" s="4" t="s">
        <v>781</v>
      </c>
      <c r="C10" s="5" t="s">
        <v>782</v>
      </c>
    </row>
    <row r="11" spans="1:3" ht="33.75" customHeight="1" x14ac:dyDescent="0.2">
      <c r="B11" s="4" t="s">
        <v>783</v>
      </c>
      <c r="C11" s="5" t="s">
        <v>784</v>
      </c>
    </row>
    <row r="12" spans="1:3" ht="33.75" customHeight="1" x14ac:dyDescent="0.2">
      <c r="B12" s="4" t="s">
        <v>785</v>
      </c>
      <c r="C12" s="5" t="s">
        <v>786</v>
      </c>
    </row>
    <row r="13" spans="1:3" ht="33.75" customHeight="1" x14ac:dyDescent="0.2">
      <c r="B13" s="4" t="s">
        <v>787</v>
      </c>
      <c r="C13" s="5" t="s">
        <v>788</v>
      </c>
    </row>
    <row r="14" spans="1:3" ht="9.75" customHeight="1" x14ac:dyDescent="0.2"/>
    <row r="15" spans="1:3" ht="25.5" customHeight="1" x14ac:dyDescent="0.2">
      <c r="A15" s="123" t="s">
        <v>789</v>
      </c>
      <c r="B15" s="96"/>
      <c r="C15" s="96"/>
    </row>
    <row r="16" spans="1:3" ht="33.75" customHeight="1" x14ac:dyDescent="0.2">
      <c r="B16" s="11" t="s">
        <v>790</v>
      </c>
      <c r="C16" s="5" t="s">
        <v>791</v>
      </c>
    </row>
    <row r="17" spans="1:3" ht="33.75" customHeight="1" x14ac:dyDescent="0.2">
      <c r="B17" s="11" t="s">
        <v>792</v>
      </c>
      <c r="C17" s="5" t="s">
        <v>793</v>
      </c>
    </row>
    <row r="18" spans="1:3" ht="33.75" customHeight="1" x14ac:dyDescent="0.2">
      <c r="B18" s="11" t="s">
        <v>794</v>
      </c>
      <c r="C18" s="5" t="s">
        <v>795</v>
      </c>
    </row>
    <row r="19" spans="1:3" ht="33.75" customHeight="1" x14ac:dyDescent="0.2">
      <c r="B19" s="11" t="s">
        <v>796</v>
      </c>
      <c r="C19" s="5" t="s">
        <v>797</v>
      </c>
    </row>
    <row r="20" spans="1:3" ht="9.75" customHeight="1" x14ac:dyDescent="0.2"/>
    <row r="21" spans="1:3" ht="25.5" customHeight="1" x14ac:dyDescent="0.2">
      <c r="A21" s="122" t="s">
        <v>798</v>
      </c>
      <c r="B21" s="96"/>
      <c r="C21" s="96"/>
    </row>
    <row r="22" spans="1:3" ht="33.75" customHeight="1" x14ac:dyDescent="0.2">
      <c r="B22" s="4" t="s">
        <v>799</v>
      </c>
      <c r="C22" s="5" t="s">
        <v>800</v>
      </c>
    </row>
    <row r="24" spans="1:3" x14ac:dyDescent="0.2">
      <c r="A24" t="s">
        <v>801</v>
      </c>
    </row>
    <row r="25" spans="1:3" x14ac:dyDescent="0.2">
      <c r="B25" t="s">
        <v>802</v>
      </c>
      <c r="C25" t="s">
        <v>803</v>
      </c>
    </row>
    <row r="26" spans="1:3" x14ac:dyDescent="0.2">
      <c r="B26" t="s">
        <v>804</v>
      </c>
      <c r="C26" t="s">
        <v>805</v>
      </c>
    </row>
    <row r="28" spans="1:3" x14ac:dyDescent="0.2">
      <c r="A28" t="s">
        <v>806</v>
      </c>
    </row>
    <row r="29" spans="1:3" x14ac:dyDescent="0.2">
      <c r="B29" t="s">
        <v>807</v>
      </c>
      <c r="C29" t="s">
        <v>808</v>
      </c>
    </row>
    <row r="31" spans="1:3" x14ac:dyDescent="0.2">
      <c r="A31" t="s">
        <v>809</v>
      </c>
    </row>
    <row r="32" spans="1:3" x14ac:dyDescent="0.2">
      <c r="B32" t="s">
        <v>775</v>
      </c>
      <c r="C32" t="s">
        <v>810</v>
      </c>
    </row>
    <row r="33" spans="1:3" x14ac:dyDescent="0.2">
      <c r="B33" t="s">
        <v>811</v>
      </c>
      <c r="C33" t="s">
        <v>812</v>
      </c>
    </row>
    <row r="34" spans="1:3" x14ac:dyDescent="0.2">
      <c r="B34" t="s">
        <v>813</v>
      </c>
      <c r="C34" t="s">
        <v>814</v>
      </c>
    </row>
    <row r="35" spans="1:3" x14ac:dyDescent="0.2">
      <c r="B35" t="s">
        <v>815</v>
      </c>
      <c r="C35" t="s">
        <v>816</v>
      </c>
    </row>
    <row r="37" spans="1:3" x14ac:dyDescent="0.2">
      <c r="A37" t="s">
        <v>817</v>
      </c>
    </row>
    <row r="38" spans="1:3" x14ac:dyDescent="0.2">
      <c r="B38" t="s">
        <v>818</v>
      </c>
      <c r="C38" t="s">
        <v>819</v>
      </c>
    </row>
    <row r="39" spans="1:3" x14ac:dyDescent="0.2">
      <c r="B39" t="s">
        <v>820</v>
      </c>
      <c r="C39" t="s">
        <v>821</v>
      </c>
    </row>
    <row r="40" spans="1:3" x14ac:dyDescent="0.2">
      <c r="B40" t="s">
        <v>822</v>
      </c>
      <c r="C40" t="s">
        <v>823</v>
      </c>
    </row>
    <row r="42" spans="1:3" x14ac:dyDescent="0.2">
      <c r="A42" t="s">
        <v>824</v>
      </c>
    </row>
    <row r="43" spans="1:3" x14ac:dyDescent="0.2">
      <c r="B43" t="s">
        <v>775</v>
      </c>
      <c r="C43" t="s">
        <v>825</v>
      </c>
    </row>
    <row r="44" spans="1:3" x14ac:dyDescent="0.2">
      <c r="B44" t="s">
        <v>826</v>
      </c>
      <c r="C44" t="s">
        <v>827</v>
      </c>
    </row>
    <row r="45" spans="1:3" x14ac:dyDescent="0.2">
      <c r="B45" t="s">
        <v>828</v>
      </c>
      <c r="C45" t="s">
        <v>829</v>
      </c>
    </row>
    <row r="46" spans="1:3" x14ac:dyDescent="0.2">
      <c r="B46" t="s">
        <v>830</v>
      </c>
      <c r="C46" t="s">
        <v>831</v>
      </c>
    </row>
    <row r="47" spans="1:3" x14ac:dyDescent="0.2">
      <c r="B47" t="s">
        <v>832</v>
      </c>
      <c r="C47" t="s">
        <v>833</v>
      </c>
    </row>
    <row r="48" spans="1:3" x14ac:dyDescent="0.2">
      <c r="B48" t="s">
        <v>834</v>
      </c>
      <c r="C48" t="s">
        <v>835</v>
      </c>
    </row>
    <row r="49" spans="1:3" x14ac:dyDescent="0.2">
      <c r="B49" t="s">
        <v>836</v>
      </c>
      <c r="C49" t="s">
        <v>837</v>
      </c>
    </row>
    <row r="50" spans="1:3" x14ac:dyDescent="0.2">
      <c r="B50" t="s">
        <v>838</v>
      </c>
      <c r="C50" t="s">
        <v>839</v>
      </c>
    </row>
    <row r="51" spans="1:3" x14ac:dyDescent="0.2">
      <c r="B51" t="s">
        <v>840</v>
      </c>
      <c r="C51" t="s">
        <v>841</v>
      </c>
    </row>
    <row r="53" spans="1:3" x14ac:dyDescent="0.2">
      <c r="A53" t="s">
        <v>842</v>
      </c>
    </row>
    <row r="54" spans="1:3" x14ac:dyDescent="0.2">
      <c r="B54" t="s">
        <v>843</v>
      </c>
      <c r="C54" t="s">
        <v>844</v>
      </c>
    </row>
    <row r="55" spans="1:3" x14ac:dyDescent="0.2">
      <c r="B55" t="s">
        <v>845</v>
      </c>
      <c r="C55" t="s">
        <v>846</v>
      </c>
    </row>
    <row r="56" spans="1:3" x14ac:dyDescent="0.2">
      <c r="B56" t="s">
        <v>847</v>
      </c>
      <c r="C56" t="s">
        <v>848</v>
      </c>
    </row>
    <row r="58" spans="1:3" x14ac:dyDescent="0.2">
      <c r="A58" t="s">
        <v>849</v>
      </c>
    </row>
    <row r="59" spans="1:3" x14ac:dyDescent="0.2">
      <c r="B59" t="s">
        <v>850</v>
      </c>
      <c r="C59" t="s">
        <v>851</v>
      </c>
    </row>
    <row r="60" spans="1:3" x14ac:dyDescent="0.2">
      <c r="B60" t="s">
        <v>852</v>
      </c>
      <c r="C60" t="s">
        <v>853</v>
      </c>
    </row>
    <row r="61" spans="1:3" x14ac:dyDescent="0.2">
      <c r="B61" t="s">
        <v>854</v>
      </c>
      <c r="C61" t="s">
        <v>855</v>
      </c>
    </row>
    <row r="62" spans="1:3" x14ac:dyDescent="0.2">
      <c r="B62" t="s">
        <v>856</v>
      </c>
      <c r="C62" t="s">
        <v>857</v>
      </c>
    </row>
    <row r="63" spans="1:3" x14ac:dyDescent="0.2">
      <c r="B63" t="s">
        <v>858</v>
      </c>
      <c r="C63" t="s">
        <v>859</v>
      </c>
    </row>
    <row r="64" spans="1:3" x14ac:dyDescent="0.2">
      <c r="B64" t="s">
        <v>860</v>
      </c>
      <c r="C64" t="s">
        <v>861</v>
      </c>
    </row>
    <row r="65" spans="2:3" x14ac:dyDescent="0.2">
      <c r="B65" t="s">
        <v>862</v>
      </c>
      <c r="C65" t="s">
        <v>863</v>
      </c>
    </row>
  </sheetData>
  <mergeCells count="6">
    <mergeCell ref="A1:C1"/>
    <mergeCell ref="A6:C6"/>
    <mergeCell ref="A21:C21"/>
    <mergeCell ref="A15:C15"/>
    <mergeCell ref="A4:C4"/>
    <mergeCell ref="A2:C2"/>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C2B3A"/>
  </sheetPr>
  <dimension ref="A1:G25"/>
  <sheetViews>
    <sheetView showGridLines="0" zoomScaleNormal="100" workbookViewId="0">
      <pane ySplit="5" topLeftCell="A6" activePane="bottomLeft" state="frozen"/>
      <selection pane="bottomLeft" sqref="A1:G1"/>
    </sheetView>
  </sheetViews>
  <sheetFormatPr baseColWidth="10" defaultColWidth="8.6640625" defaultRowHeight="15" x14ac:dyDescent="0.2"/>
  <cols>
    <col min="1" max="1" width="13" customWidth="1"/>
    <col min="2" max="2" width="16" customWidth="1"/>
    <col min="3" max="4" width="30" customWidth="1"/>
    <col min="5" max="5" width="32" customWidth="1"/>
    <col min="6" max="7" width="30" customWidth="1"/>
  </cols>
  <sheetData>
    <row r="1" spans="1:7" ht="33.75" customHeight="1" x14ac:dyDescent="0.2">
      <c r="A1" s="125" t="s">
        <v>864</v>
      </c>
      <c r="B1" s="96"/>
      <c r="C1" s="96"/>
      <c r="D1" s="96"/>
      <c r="E1" s="96"/>
      <c r="F1" s="96"/>
      <c r="G1" s="96"/>
    </row>
    <row r="2" spans="1:7" ht="30" customHeight="1" x14ac:dyDescent="0.2">
      <c r="A2" s="124" t="s">
        <v>865</v>
      </c>
      <c r="B2" s="96"/>
      <c r="C2" s="96"/>
      <c r="D2" s="96"/>
      <c r="E2" s="96"/>
      <c r="F2" s="96"/>
      <c r="G2" s="96"/>
    </row>
    <row r="3" spans="1:7" ht="7.5" customHeight="1" x14ac:dyDescent="0.2"/>
    <row r="4" spans="1:7" ht="48" customHeight="1" x14ac:dyDescent="0.2">
      <c r="A4" s="90" t="s">
        <v>866</v>
      </c>
      <c r="B4" s="90" t="s">
        <v>867</v>
      </c>
      <c r="C4" s="90" t="s">
        <v>868</v>
      </c>
      <c r="D4" s="90" t="s">
        <v>869</v>
      </c>
      <c r="E4" s="90" t="s">
        <v>870</v>
      </c>
      <c r="F4" s="90" t="s">
        <v>871</v>
      </c>
      <c r="G4" s="90" t="s">
        <v>872</v>
      </c>
    </row>
    <row r="5" spans="1:7" ht="109.5" customHeight="1" x14ac:dyDescent="0.2">
      <c r="A5" s="85">
        <v>46220</v>
      </c>
      <c r="B5" s="86">
        <v>5</v>
      </c>
      <c r="C5" s="70" t="s">
        <v>873</v>
      </c>
      <c r="D5" s="70" t="s">
        <v>874</v>
      </c>
      <c r="E5" s="70" t="s">
        <v>875</v>
      </c>
      <c r="F5" s="70" t="s">
        <v>876</v>
      </c>
      <c r="G5" s="87" t="s">
        <v>877</v>
      </c>
    </row>
    <row r="6" spans="1:7" ht="54.75" customHeight="1" x14ac:dyDescent="0.2">
      <c r="A6" s="85">
        <v>46229</v>
      </c>
      <c r="B6" s="86">
        <v>6</v>
      </c>
      <c r="C6" s="70" t="s">
        <v>878</v>
      </c>
      <c r="D6" s="70" t="s">
        <v>879</v>
      </c>
      <c r="E6" s="70" t="s">
        <v>880</v>
      </c>
      <c r="F6" s="70" t="s">
        <v>881</v>
      </c>
      <c r="G6" s="87" t="s">
        <v>882</v>
      </c>
    </row>
    <row r="7" spans="1:7" ht="51" customHeight="1" x14ac:dyDescent="0.2">
      <c r="A7" s="89"/>
      <c r="B7" s="89"/>
      <c r="C7" s="89"/>
      <c r="D7" s="89"/>
      <c r="E7" s="89"/>
      <c r="F7" s="89"/>
      <c r="G7" s="89"/>
    </row>
    <row r="8" spans="1:7" ht="15" customHeight="1" x14ac:dyDescent="0.2"/>
    <row r="9" spans="1:7" x14ac:dyDescent="0.2">
      <c r="A9" s="80"/>
      <c r="B9" s="80"/>
      <c r="C9" s="80"/>
      <c r="D9" s="80"/>
      <c r="E9" s="80"/>
      <c r="F9" s="80"/>
      <c r="G9" s="80"/>
    </row>
    <row r="10" spans="1:7" ht="15" customHeight="1" x14ac:dyDescent="0.2"/>
    <row r="11" spans="1:7" x14ac:dyDescent="0.2">
      <c r="A11" s="80"/>
      <c r="B11" s="80"/>
      <c r="C11" s="80"/>
      <c r="D11" s="80"/>
      <c r="E11" s="80"/>
      <c r="F11" s="80"/>
      <c r="G11" s="80"/>
    </row>
    <row r="12" spans="1:7" ht="15" customHeight="1" x14ac:dyDescent="0.2"/>
    <row r="13" spans="1:7" x14ac:dyDescent="0.2">
      <c r="A13" s="80"/>
      <c r="B13" s="80"/>
      <c r="C13" s="80"/>
      <c r="D13" s="80"/>
      <c r="E13" s="80"/>
      <c r="F13" s="80"/>
      <c r="G13" s="80"/>
    </row>
    <row r="14" spans="1:7" ht="15" customHeight="1" x14ac:dyDescent="0.2"/>
    <row r="15" spans="1:7" x14ac:dyDescent="0.2">
      <c r="A15" s="80"/>
      <c r="B15" s="80"/>
      <c r="C15" s="80"/>
      <c r="D15" s="80"/>
      <c r="E15" s="80"/>
      <c r="F15" s="80"/>
      <c r="G15" s="80"/>
    </row>
    <row r="16" spans="1:7" ht="15" customHeight="1" x14ac:dyDescent="0.2"/>
    <row r="17" spans="1:7" x14ac:dyDescent="0.2">
      <c r="A17" s="80"/>
      <c r="B17" s="80"/>
      <c r="C17" s="80"/>
      <c r="D17" s="80"/>
      <c r="E17" s="80"/>
      <c r="F17" s="80"/>
      <c r="G17" s="80"/>
    </row>
    <row r="18" spans="1:7" ht="15" customHeight="1" x14ac:dyDescent="0.2"/>
    <row r="19" spans="1:7" x14ac:dyDescent="0.2">
      <c r="A19" s="80"/>
      <c r="B19" s="80"/>
      <c r="C19" s="80"/>
      <c r="D19" s="80"/>
      <c r="E19" s="80"/>
      <c r="F19" s="80"/>
      <c r="G19" s="80"/>
    </row>
    <row r="20" spans="1:7" ht="15" customHeight="1" x14ac:dyDescent="0.2"/>
    <row r="21" spans="1:7" x14ac:dyDescent="0.2">
      <c r="A21" s="80"/>
      <c r="B21" s="80"/>
      <c r="C21" s="80"/>
      <c r="D21" s="80"/>
      <c r="E21" s="80"/>
      <c r="F21" s="80"/>
      <c r="G21" s="80"/>
    </row>
    <row r="22" spans="1:7" ht="15" customHeight="1" x14ac:dyDescent="0.2"/>
    <row r="23" spans="1:7" x14ac:dyDescent="0.2">
      <c r="A23" s="80"/>
      <c r="B23" s="80"/>
      <c r="C23" s="80"/>
      <c r="D23" s="80"/>
      <c r="E23" s="80"/>
      <c r="F23" s="80"/>
      <c r="G23" s="80"/>
    </row>
    <row r="24" spans="1:7" ht="15" customHeight="1" x14ac:dyDescent="0.2"/>
    <row r="25" spans="1:7" x14ac:dyDescent="0.2">
      <c r="A25" s="80"/>
      <c r="B25" s="80"/>
      <c r="C25" s="80"/>
      <c r="D25" s="80"/>
      <c r="E25" s="80"/>
      <c r="F25" s="80"/>
      <c r="G25" s="80"/>
    </row>
  </sheetData>
  <mergeCells count="2">
    <mergeCell ref="A2:G2"/>
    <mergeCell ref="A1:G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LÉEME</vt:lpstr>
      <vt:lpstr>LI Estratégico</vt:lpstr>
      <vt:lpstr>Últimos 10 Posts</vt:lpstr>
      <vt:lpstr>GUÍA OPERATIVA</vt:lpstr>
      <vt:lpstr>PARRILLA</vt:lpstr>
      <vt:lpstr>ANALYTICS 24H</vt:lpstr>
      <vt:lpstr>PERFIL SEMANAL</vt:lpstr>
      <vt:lpstr>ITERACIÓN DE CONTENIDO</vt:lpstr>
      <vt:lpstr>BITÁCORA DE IDEAS</vt:lpstr>
      <vt:lpstr>LEARNINGS</vt:lpstr>
      <vt:lpstr>EL CIERRE DEL GAP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Juan Castro</cp:lastModifiedBy>
  <cp:revision>0</cp:revision>
  <dcterms:created xsi:type="dcterms:W3CDTF">2026-07-17T01:52:01Z</dcterms:created>
  <dcterms:modified xsi:type="dcterms:W3CDTF">2026-08-04T19:20:48Z</dcterms:modified>
  <dc:language>en-US</dc:language>
</cp:coreProperties>
</file>